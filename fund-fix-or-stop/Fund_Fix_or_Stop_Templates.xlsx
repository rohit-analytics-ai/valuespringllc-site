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lf-assessment" sheetId="2" state="visible" r:id="rId2"/>
    <sheet xmlns:r="http://schemas.openxmlformats.org/officeDocument/2006/relationships" name="Inventory" sheetId="3" state="visible" r:id="rId3"/>
    <sheet xmlns:r="http://schemas.openxmlformats.org/officeDocument/2006/relationships" name="Intake and tiering" sheetId="4" state="visible" r:id="rId4"/>
    <sheet xmlns:r="http://schemas.openxmlformats.org/officeDocument/2006/relationships" name="Explore entry" sheetId="5" state="visible" r:id="rId5"/>
    <sheet xmlns:r="http://schemas.openxmlformats.org/officeDocument/2006/relationships" name="Threshold sheet" sheetId="6" state="visible" r:id="rId6"/>
    <sheet xmlns:r="http://schemas.openxmlformats.org/officeDocument/2006/relationships" name="Five-test scorecard" sheetId="7" state="visible" r:id="rId7"/>
    <sheet xmlns:r="http://schemas.openxmlformats.org/officeDocument/2006/relationships" name="Value leakage" sheetId="8" state="visible" r:id="rId8"/>
    <sheet xmlns:r="http://schemas.openxmlformats.org/officeDocument/2006/relationships" name="Monthly cost report" sheetId="9" state="visible" r:id="rId9"/>
    <sheet xmlns:r="http://schemas.openxmlformats.org/officeDocument/2006/relationships" name="Leadership page" sheetId="10" state="visible" r:id="rId10"/>
    <sheet xmlns:r="http://schemas.openxmlformats.org/officeDocument/2006/relationships" name="Gate decision" sheetId="11" state="visible" r:id="rId11"/>
    <sheet xmlns:r="http://schemas.openxmlformats.org/officeDocument/2006/relationships" name="Red decision memo" sheetId="12" state="visible" r:id="rId12"/>
    <sheet xmlns:r="http://schemas.openxmlformats.org/officeDocument/2006/relationships" name="General tool value plan" sheetId="13" state="visible" r:id="rId13"/>
    <sheet xmlns:r="http://schemas.openxmlformats.org/officeDocument/2006/relationships" name="Vendor checklist" sheetId="14" state="visible" r:id="rId14"/>
    <sheet xmlns:r="http://schemas.openxmlformats.org/officeDocument/2006/relationships" name="90-day tracker" sheetId="15" state="visible" r:id="rId15"/>
    <sheet xmlns:r="http://schemas.openxmlformats.org/officeDocument/2006/relationships" name="Charter" sheetId="16" state="visible" r:id="rId16"/>
    <sheet xmlns:r="http://schemas.openxmlformats.org/officeDocument/2006/relationships" name="Discovery checklist" sheetId="17" state="visible" r:id="rId17"/>
    <sheet xmlns:r="http://schemas.openxmlformats.org/officeDocument/2006/relationships" name="Gateway controls" sheetId="18" state="visible" r:id="rId18"/>
    <sheet xmlns:r="http://schemas.openxmlformats.org/officeDocument/2006/relationships" name="Agent approval" sheetId="19" state="visible" r:id="rId19"/>
    <sheet xmlns:r="http://schemas.openxmlformats.org/officeDocument/2006/relationships" name="Quality plan" sheetId="20" state="visible" r:id="rId20"/>
    <sheet xmlns:r="http://schemas.openxmlformats.org/officeDocument/2006/relationships" name="Value plan" sheetId="21" state="visible" r:id="rId21"/>
    <sheet xmlns:r="http://schemas.openxmlformats.org/officeDocument/2006/relationships" name="Recovery and incident" sheetId="22" state="visible" r:id="rId22"/>
    <sheet xmlns:r="http://schemas.openxmlformats.org/officeDocument/2006/relationships" name="Example threshold sheet" sheetId="23" state="visible" r:id="rId23"/>
    <sheet xmlns:r="http://schemas.openxmlformats.org/officeDocument/2006/relationships" name="Example Red memo" sheetId="24" state="visible" r:id="rId24"/>
    <sheet xmlns:r="http://schemas.openxmlformats.org/officeDocument/2006/relationships" name="Example value confirmation" sheetId="25" state="visible" r:id="rId25"/>
  </sheets>
  <definedNames/>
  <calcPr calcId="124519" fullCalcOnLoad="1"/>
</workbook>
</file>

<file path=xl/styles.xml><?xml version="1.0" encoding="utf-8"?>
<styleSheet xmlns="http://schemas.openxmlformats.org/spreadsheetml/2006/main">
  <numFmts count="3">
    <numFmt numFmtId="164" formatCode="$#,##0"/>
    <numFmt numFmtId="165" formatCode="$0.000"/>
    <numFmt numFmtId="166" formatCode="0.0"/>
  </numFmts>
  <fonts count="7">
    <font>
      <name val="Calibri"/>
      <family val="2"/>
      <color theme="1"/>
      <sz val="11"/>
      <scheme val="minor"/>
    </font>
    <font>
      <name val="Arial"/>
      <b val="1"/>
      <color rgb="000F1B33"/>
      <sz val="14"/>
    </font>
    <font>
      <name val="Arial"/>
      <i val="1"/>
      <color rgb="006A7383"/>
      <sz val="9"/>
    </font>
    <font>
      <name val="Arial"/>
      <b val="1"/>
      <color rgb="00FFFFFF"/>
      <sz val="10"/>
    </font>
    <font>
      <name val="Arial"/>
      <sz val="10"/>
    </font>
    <font>
      <name val="Arial"/>
      <b val="1"/>
      <color rgb="001F2A44"/>
      <sz val="11"/>
    </font>
    <font>
      <name val="Arial"/>
      <b val="1"/>
      <sz val="10"/>
    </font>
  </fonts>
  <fills count="4">
    <fill>
      <patternFill/>
    </fill>
    <fill>
      <patternFill patternType="gray125"/>
    </fill>
    <fill>
      <patternFill patternType="solid">
        <fgColor rgb="000F1B33"/>
      </patternFill>
    </fill>
    <fill>
      <patternFill patternType="solid">
        <fgColor rgb="00FFF2CC"/>
      </patternFill>
    </fill>
  </fills>
  <borders count="2">
    <border>
      <left/>
      <right/>
      <top/>
      <bottom/>
      <diagonal/>
    </border>
    <border>
      <left style="thin">
        <color rgb="00CBCBCB"/>
      </left>
      <right style="thin">
        <color rgb="00CBCBCB"/>
      </right>
      <top style="thin">
        <color rgb="00CBCBCB"/>
      </top>
      <bottom style="thin">
        <color rgb="00CBCBC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vertical="top" wrapText="1"/>
    </xf>
    <xf numFmtId="0" fontId="2" fillId="0" borderId="1" applyAlignment="1" pivotButton="0" quotePrefix="0" xfId="0">
      <alignment vertical="top" wrapText="1"/>
    </xf>
    <xf numFmtId="164" fontId="4" fillId="0" borderId="1" applyAlignment="1" pivotButton="0" quotePrefix="0" xfId="0">
      <alignment vertical="top" wrapText="1"/>
    </xf>
    <xf numFmtId="9" fontId="4" fillId="0" borderId="1" applyAlignment="1" pivotButton="0" quotePrefix="0" xfId="0">
      <alignment vertical="top" wrapText="1"/>
    </xf>
    <xf numFmtId="3" fontId="4" fillId="3" borderId="1" applyAlignment="1" pivotButton="0" quotePrefix="0" xfId="0">
      <alignment vertical="top" wrapText="1"/>
    </xf>
    <xf numFmtId="165"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166" fontId="4" fillId="3" borderId="1" applyAlignment="1" pivotButton="0" quotePrefix="0" xfId="0">
      <alignment vertical="top" wrapText="1"/>
    </xf>
    <xf numFmtId="166"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omments/comment1.xml><?xml version="1.0" encoding="utf-8"?>
<comments xmlns="http://schemas.openxmlformats.org/spreadsheetml/2006/main">
  <authors>
    <author>Template</author>
  </authors>
  <commentList>
    <comment ref="C18" authorId="0" shapeId="0">
      <text>
        <t>Illustrative price from the book. Use your contracted price.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8" customWidth="1" min="1" max="1"/>
    <col width="90" customWidth="1" min="2" max="2"/>
  </cols>
  <sheetData>
    <row r="1">
      <c r="A1" s="1" t="inlineStr">
        <is>
          <t>Fund, Fix or Stop: editable templates</t>
        </is>
      </c>
    </row>
    <row r="2">
      <c r="A2" s="2" t="inlineStr">
        <is>
          <t>Companion to the book. Copy and adapt these templates for use within your own organization.</t>
        </is>
      </c>
    </row>
    <row r="4" ht="30" customHeight="1">
      <c r="A4" s="3" t="inlineStr">
        <is>
          <t>Topic</t>
        </is>
      </c>
      <c r="B4" s="3" t="inlineStr">
        <is>
          <t>Notes</t>
        </is>
      </c>
    </row>
    <row r="5">
      <c r="A5" s="4" t="inlineStr">
        <is>
          <t>How to use</t>
        </is>
      </c>
      <c r="B5" s="4" t="inlineStr">
        <is>
          <t>Yellow cells are inputs. White cells with formulas calculate automatically. Each sheet has one example row from the book's fictional bank, Fytvio; replace it with your own data.</t>
        </is>
      </c>
    </row>
    <row r="6">
      <c r="A6" s="4" t="inlineStr">
        <is>
          <t>Status colors</t>
        </is>
      </c>
      <c r="B6" s="4" t="inlineStr">
        <is>
          <t>Status is always written as text (Green, Amber, Red) so that it survives printing and color-blind viewing.</t>
        </is>
      </c>
    </row>
    <row r="7">
      <c r="A7" s="4" t="inlineStr">
        <is>
          <t>Defaults</t>
        </is>
      </c>
      <c r="B7" s="4" t="inlineStr">
        <is>
          <t>Limits shown are the book's default starting points. Your signed threshold sheet sets the actual limits.</t>
        </is>
      </c>
    </row>
    <row r="8">
      <c r="A8" s="4" t="inlineStr">
        <is>
          <t>What to customize</t>
        </is>
      </c>
      <c r="B8" s="4" t="inlineStr">
        <is>
          <t>Every yellow cell, plus the limits, sample sizes, deadlines and the delegated funding limit, which the book gives only as defaults.</t>
        </is>
      </c>
    </row>
    <row r="9">
      <c r="A9" s="4" t="inlineStr">
        <is>
          <t>Blank or example</t>
        </is>
      </c>
      <c r="B9" s="4" t="inlineStr">
        <is>
          <t>Sheets named Example hold completed records for the fictional bank. Every other sheet is a blank template.</t>
        </is>
      </c>
    </row>
    <row r="10">
      <c r="A10" s="4" t="inlineStr">
        <is>
          <t>Self-assessment</t>
        </is>
      </c>
      <c r="B10" s="4" t="inlineStr">
        <is>
          <t>Chapter 1. Ten questions and a score.</t>
        </is>
      </c>
    </row>
    <row r="11">
      <c r="A11" s="4" t="inlineStr">
        <is>
          <t>Inventory</t>
        </is>
      </c>
      <c r="B11" s="4" t="inlineStr">
        <is>
          <t>Chapter 3. One row per use case: the twelve fields, the contract renewal date, and whether the investment is mandatory.</t>
        </is>
      </c>
    </row>
    <row r="12">
      <c r="A12" s="4" t="inlineStr">
        <is>
          <t>Explore entry</t>
        </is>
      </c>
      <c r="B12" s="4" t="inlineStr">
        <is>
          <t>Chapter 13. One-page scoring of new ideas; eligibility and ranking are calculated.</t>
        </is>
      </c>
    </row>
    <row r="13">
      <c r="A13" s="4" t="inlineStr">
        <is>
          <t>Intake and tiering</t>
        </is>
      </c>
      <c r="B13" s="4" t="inlineStr">
        <is>
          <t>Chapter 4. Six answers; the highest sets the tier.</t>
        </is>
      </c>
    </row>
    <row r="14">
      <c r="A14" s="4" t="inlineStr">
        <is>
          <t>Threshold sheet</t>
        </is>
      </c>
      <c r="B14" s="4" t="inlineStr">
        <is>
          <t>Chapter 11. Limits, readings, and status by rule, including the trend rule with a minimum decline.</t>
        </is>
      </c>
    </row>
    <row r="15">
      <c r="A15" s="4" t="inlineStr">
        <is>
          <t>Five-test scorecard</t>
        </is>
      </c>
      <c r="B15" s="4" t="inlineStr">
        <is>
          <t>Chapter 7. Overall status is the weakest test.</t>
        </is>
      </c>
    </row>
    <row r="16">
      <c r="A16" s="4" t="inlineStr">
        <is>
          <t>Value leakage</t>
        </is>
      </c>
      <c r="B16" s="4" t="inlineStr">
        <is>
          <t>Chapter 9. Business case, four leaks, measured and realized value.</t>
        </is>
      </c>
    </row>
    <row r="17">
      <c r="A17" s="4" t="inlineStr">
        <is>
          <t>Monthly cost report</t>
        </is>
      </c>
      <c r="B17" s="4" t="inlineStr">
        <is>
          <t>Chapter 10. Unit cost against plan with default Economics status.</t>
        </is>
      </c>
    </row>
    <row r="18">
      <c r="A18" s="4" t="inlineStr">
        <is>
          <t>Leadership page</t>
        </is>
      </c>
      <c r="B18" s="4" t="inlineStr">
        <is>
          <t>Chapter 14. Spend by status from a list of investments.</t>
        </is>
      </c>
    </row>
    <row r="19">
      <c r="A19" s="4" t="inlineStr">
        <is>
          <t>Gate decision</t>
        </is>
      </c>
      <c r="B19" s="4" t="inlineStr">
        <is>
          <t>Chapter 13. Record of a fund, fix once, or stop decision.</t>
        </is>
      </c>
    </row>
    <row r="20">
      <c r="A20" s="4" t="inlineStr">
        <is>
          <t>Red decision memo</t>
        </is>
      </c>
      <c r="B20" s="4" t="inlineStr">
        <is>
          <t>Chapter 14. The five sections of the memo.</t>
        </is>
      </c>
    </row>
    <row r="21">
      <c r="A21" s="4" t="inlineStr">
        <is>
          <t>General tool value plan</t>
        </is>
      </c>
      <c r="B21" s="4" t="inlineStr">
        <is>
          <t>Chapter 17. Role-based hypotheses and task-sampling results.</t>
        </is>
      </c>
    </row>
    <row r="22">
      <c r="A22" s="4" t="inlineStr">
        <is>
          <t>Vendor checklist</t>
        </is>
      </c>
      <c r="B22" s="4" t="inlineStr">
        <is>
          <t>Appendix D. Due-diligence questions, what each answer decides, and the vendor's answers.</t>
        </is>
      </c>
    </row>
    <row r="23">
      <c r="A23" s="4" t="inlineStr">
        <is>
          <t>90-day tracker</t>
        </is>
      </c>
      <c r="B23" s="4" t="inlineStr">
        <is>
          <t>Chapter 15. Activities, owners, and dates.</t>
        </is>
      </c>
    </row>
    <row r="24">
      <c r="A24" s="4" t="inlineStr">
        <is>
          <t>Charter</t>
        </is>
      </c>
      <c r="B24" s="4" t="inlineStr">
        <is>
          <t>Chapter 2. Review board charter, with the book's example beside each section.</t>
        </is>
      </c>
    </row>
    <row r="25">
      <c r="A25" s="4" t="inlineStr">
        <is>
          <t>Discovery checklist</t>
        </is>
      </c>
      <c r="B25" s="4" t="inlineStr">
        <is>
          <t>Chapter 3. Quarterly sweep for AI that registration missed.</t>
        </is>
      </c>
    </row>
    <row r="26">
      <c r="A26" s="4" t="inlineStr">
        <is>
          <t>Gateway controls</t>
        </is>
      </c>
      <c r="B26" s="4" t="inlineStr">
        <is>
          <t>Chapter 5. Control checklist per use case, and the model selection record.</t>
        </is>
      </c>
    </row>
    <row r="27">
      <c r="A27" s="4" t="inlineStr">
        <is>
          <t>Agent approval</t>
        </is>
      </c>
      <c r="B27" s="4" t="inlineStr">
        <is>
          <t>Chapter 6. Agent approval record and promotion checklist.</t>
        </is>
      </c>
    </row>
    <row r="28">
      <c r="A28" s="4" t="inlineStr">
        <is>
          <t>Quality plan</t>
        </is>
      </c>
      <c r="B28" s="4" t="inlineStr">
        <is>
          <t>Chapter 8. Test set, live sample, reviewers and grader.</t>
        </is>
      </c>
    </row>
    <row r="29">
      <c r="A29" s="4" t="inlineStr">
        <is>
          <t>Value plan</t>
        </is>
      </c>
      <c r="B29" s="4" t="inlineStr">
        <is>
          <t>Chapter 9. Baseline, comparison, calculation, payback and Finance confirmation.</t>
        </is>
      </c>
    </row>
    <row r="30">
      <c r="A30" s="4" t="inlineStr">
        <is>
          <t>Recovery and incident</t>
        </is>
      </c>
      <c r="B30" s="4" t="inlineStr">
        <is>
          <t>Chapter 12. Recovery plan and incident record.</t>
        </is>
      </c>
    </row>
    <row r="31">
      <c r="A31" s="4" t="inlineStr">
        <is>
          <t>Example sheets</t>
        </is>
      </c>
      <c r="B31" s="4" t="inlineStr">
        <is>
          <t>Three completed records from Appendix A, filled in for Fytvio: a threshold sheet, a Red decision memo, and a value confirmation with live formulas. They show the level of detail that lets a record stand as 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5" customWidth="1" min="1" max="1"/>
    <col width="80" customWidth="1" min="2" max="2"/>
    <col width="40" customWidth="1" min="3" max="3"/>
  </cols>
  <sheetData>
    <row r="1">
      <c r="A1" s="1" t="inlineStr">
        <is>
          <t>AI portfolio self-assessment (Chapter 1)</t>
        </is>
      </c>
    </row>
    <row r="2">
      <c r="A2" s="2" t="inlineStr">
        <is>
          <t>Answer Yes only if you could show the evidence to an auditor this week. Partly counts as No.</t>
        </is>
      </c>
    </row>
    <row r="4" ht="30" customHeight="1">
      <c r="A4" s="3" t="inlineStr">
        <is>
          <t>#</t>
        </is>
      </c>
      <c r="B4" s="3" t="inlineStr">
        <is>
          <t>Question</t>
        </is>
      </c>
      <c r="C4" s="3" t="inlineStr">
        <is>
          <t>Yes / Partly / No</t>
        </is>
      </c>
    </row>
    <row r="5">
      <c r="A5" s="4" t="n">
        <v>1</v>
      </c>
      <c r="B5" s="4" t="inlineStr">
        <is>
          <t>Do you have one list of every AI system in use, including AI features in software you already own?</t>
        </is>
      </c>
      <c r="C5" s="5" t="inlineStr">
        <is>
          <t>Partly</t>
        </is>
      </c>
    </row>
    <row r="6">
      <c r="A6" s="4" t="n">
        <v>2</v>
      </c>
      <c r="B6" s="4" t="inlineStr">
        <is>
          <t>Does every AI investment have a named business owner who is accountable for its results?</t>
        </is>
      </c>
      <c r="C6" s="5" t="inlineStr">
        <is>
          <t>No</t>
        </is>
      </c>
    </row>
    <row r="7">
      <c r="A7" s="4" t="n">
        <v>3</v>
      </c>
      <c r="B7" s="4" t="inlineStr">
        <is>
          <t>Was a baseline measured before launch for your largest AI investments by spend?</t>
        </is>
      </c>
      <c r="C7" s="5" t="inlineStr">
        <is>
          <t>No</t>
        </is>
      </c>
    </row>
    <row r="8">
      <c r="A8" s="4" t="n">
        <v>4</v>
      </c>
      <c r="B8" s="4" t="inlineStr">
        <is>
          <t>Is adoption measured as the share of eligible work done with AI, instead of licenses assigned?</t>
        </is>
      </c>
      <c r="C8" s="5" t="inlineStr">
        <is>
          <t>No</t>
        </is>
      </c>
    </row>
    <row r="9">
      <c r="A9" s="4" t="n">
        <v>5</v>
      </c>
      <c r="B9" s="4" t="inlineStr">
        <is>
          <t>Is quality measured on live use, at least monthly, by people who did not build the system?</t>
        </is>
      </c>
      <c r="C9" s="5" t="inlineStr">
        <is>
          <t>No</t>
        </is>
      </c>
    </row>
    <row r="10">
      <c r="A10" s="4" t="n">
        <v>6</v>
      </c>
      <c r="B10" s="4" t="inlineStr">
        <is>
          <t>Are serious errors counted separately, so a good average cannot hide them?</t>
        </is>
      </c>
      <c r="C10" s="5" t="inlineStr">
        <is>
          <t>No</t>
        </is>
      </c>
    </row>
    <row r="11">
      <c r="A11" s="4" t="n">
        <v>7</v>
      </c>
      <c r="B11" s="4" t="inlineStr">
        <is>
          <t>Is cost tracked per transaction for each investment, as well as in total?</t>
        </is>
      </c>
      <c r="C11" s="5" t="inlineStr">
        <is>
          <t>No</t>
        </is>
      </c>
    </row>
    <row r="12">
      <c r="A12" s="4" t="n">
        <v>8</v>
      </c>
      <c r="B12" s="4" t="inlineStr">
        <is>
          <t>Were Green, Amber, and Red limits agreed and signed before each investment went live?</t>
        </is>
      </c>
      <c r="C12" s="5" t="inlineStr">
        <is>
          <t>No</t>
        </is>
      </c>
    </row>
    <row r="13">
      <c r="A13" s="4" t="n">
        <v>9</v>
      </c>
      <c r="B13" s="4" t="inlineStr">
        <is>
          <t>Is status confirmed by someone other than the team that runs the investment?</t>
        </is>
      </c>
      <c r="C13" s="5" t="inlineStr">
        <is>
          <t>No</t>
        </is>
      </c>
    </row>
    <row r="14">
      <c r="A14" s="4" t="n">
        <v>10</v>
      </c>
      <c r="B14" s="4" t="inlineStr">
        <is>
          <t>Is value reported to leadership as realized only after Finance has confirmed it?</t>
        </is>
      </c>
      <c r="C14" s="5" t="inlineStr">
        <is>
          <t>Yes</t>
        </is>
      </c>
    </row>
    <row r="16">
      <c r="B16" s="4" t="inlineStr">
        <is>
          <t>Yes answers</t>
        </is>
      </c>
      <c r="C16" s="4">
        <f>COUNTIF(C5:C14,"Yes")</f>
        <v/>
      </c>
    </row>
    <row r="17">
      <c r="B17" s="4" t="inlineStr">
        <is>
          <t>Reading</t>
        </is>
      </c>
      <c r="C17" s="4">
        <f>IF(C16&gt;=8,"Foundations in place",IF(C16&gt;=4,"Partly visible: start with No answers","Start with the inventory and the 90-day plan"))</f>
        <v/>
      </c>
    </row>
  </sheetData>
  <dataValidations count="1">
    <dataValidation sqref="C5:C14" showDropDown="0" showInputMessage="0" showErrorMessage="0" allowBlank="1" type="list">
      <formula1>"Yes,Partly,No"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24" customWidth="1" min="3" max="3"/>
    <col width="26" customWidth="1" min="4" max="4"/>
    <col width="22" customWidth="1" min="5" max="5"/>
    <col width="16" customWidth="1" min="6" max="6"/>
    <col width="10" customWidth="1" min="7" max="7"/>
    <col width="30" customWidth="1" min="8" max="8"/>
    <col width="22" customWidth="1" min="9" max="9"/>
    <col width="14" customWidth="1" min="10" max="10"/>
    <col width="22" customWidth="1" min="11" max="11"/>
    <col width="22" customWidth="1" min="12" max="12"/>
    <col width="16" customWidth="1" min="13" max="13"/>
    <col width="24" customWidth="1" min="14" max="14"/>
    <col width="24" customWidth="1" min="15" max="15"/>
  </cols>
  <sheetData>
    <row r="1">
      <c r="A1" s="1" t="inlineStr">
        <is>
          <t>AI inventory (Chapter 3)</t>
        </is>
      </c>
    </row>
    <row r="2">
      <c r="A2" s="2" t="inlineStr">
        <is>
          <t>One row per use case. Low tier needs fields 1-7, 9, and 12.</t>
        </is>
      </c>
    </row>
    <row r="4" ht="30" customHeight="1">
      <c r="A4" s="3" t="inlineStr">
        <is>
          <t>Inventory no.</t>
        </is>
      </c>
      <c r="B4" s="3" t="inlineStr">
        <is>
          <t>1 Use case and purpose</t>
        </is>
      </c>
      <c r="C4" s="3" t="inlineStr">
        <is>
          <t>2 Business and technical owner</t>
        </is>
      </c>
      <c r="D4" s="3" t="inlineStr">
        <is>
          <t>3 Model, vendor, version</t>
        </is>
      </c>
      <c r="E4" s="3" t="inlineStr">
        <is>
          <t>4 Hosting channel</t>
        </is>
      </c>
      <c r="F4" s="3" t="inlineStr">
        <is>
          <t>5 Data classification</t>
        </is>
      </c>
      <c r="G4" s="3" t="inlineStr">
        <is>
          <t>6 Risk tier</t>
        </is>
      </c>
      <c r="H4" s="3" t="inlineStr">
        <is>
          <t>7 Approval date and conditions</t>
        </is>
      </c>
      <c r="I4" s="3" t="inlineStr">
        <is>
          <t>8 Threshold sheet link</t>
        </is>
      </c>
      <c r="J4" s="3" t="inlineStr">
        <is>
          <t>9 Monthly cost ($)</t>
        </is>
      </c>
      <c r="K4" s="3" t="inlineStr">
        <is>
          <t>10 Users and volume</t>
        </is>
      </c>
      <c r="L4" s="3" t="inlineStr">
        <is>
          <t>11 Value baseline and target</t>
        </is>
      </c>
      <c r="M4" s="3" t="inlineStr">
        <is>
          <t>12 Next review</t>
        </is>
      </c>
      <c r="N4" s="3" t="inlineStr">
        <is>
          <t>9 Contract renewal and notice date</t>
        </is>
      </c>
      <c r="O4" s="3" t="inlineStr">
        <is>
          <t>Mandatory? Requirement it meets</t>
        </is>
      </c>
    </row>
    <row r="5">
      <c r="A5" s="5" t="inlineStr">
        <is>
          <t>FYT-014</t>
        </is>
      </c>
      <c r="B5" s="5" t="inlineStr">
        <is>
          <t>Answers customer questions on fees, payments, and card disputes</t>
        </is>
      </c>
      <c r="C5" s="5" t="inlineStr">
        <is>
          <t>Head of customer services / customer platforms engineering lead</t>
        </is>
      </c>
      <c r="D5" s="5" t="inlineStr">
        <is>
          <t>Mid-size hosted model, version pinned, vendor under a data processing agreement</t>
        </is>
      </c>
      <c r="E5" s="5" t="inlineStr">
        <is>
          <t>AI gateway; vendor cloud, US region</t>
        </is>
      </c>
      <c r="F5" s="5" t="inlineStr">
        <is>
          <t>Confidential customer financial data</t>
        </is>
      </c>
      <c r="G5" s="5" t="inlineStr">
        <is>
          <t>High</t>
        </is>
      </c>
      <c r="H5" s="5" t="inlineStr">
        <is>
          <t>Approved with conditions: AI disclosure to customers; kill switch; 150 sampled monthly</t>
        </is>
      </c>
      <c r="I5" s="5" t="inlineStr">
        <is>
          <t>Threshold sheet v2</t>
        </is>
      </c>
      <c r="J5" s="6" t="n">
        <v>27000</v>
      </c>
      <c r="K5" s="5" t="inlineStr">
        <is>
          <t>420 agents plus customer chat; about 150,000 conversations a month</t>
        </is>
      </c>
      <c r="L5" s="5" t="inlineStr">
        <is>
          <t>Baseline: 6 min 20 s handle time; target: 60-second reduction</t>
        </is>
      </c>
      <c r="M5" s="5" t="inlineStr">
        <is>
          <t>Quarterly</t>
        </is>
      </c>
      <c r="N5" s="5" t="inlineStr">
        <is>
          <t>Vendor contract renews each January; 90 days' notice</t>
        </is>
      </c>
      <c r="O5" s="5" t="inlineStr">
        <is>
          <t>No</t>
        </is>
      </c>
    </row>
    <row r="6">
      <c r="A6" s="5" t="n"/>
      <c r="B6" s="5" t="n"/>
      <c r="C6" s="5" t="n"/>
      <c r="D6" s="5" t="n"/>
      <c r="E6" s="5" t="n"/>
      <c r="F6" s="5" t="n"/>
      <c r="G6" s="5" t="n"/>
      <c r="H6" s="5" t="n"/>
      <c r="I6" s="5" t="n"/>
      <c r="J6" s="6" t="n"/>
      <c r="K6" s="5" t="n"/>
      <c r="L6" s="5" t="n"/>
      <c r="M6" s="5" t="n"/>
      <c r="N6" s="5" t="n"/>
      <c r="O6" s="5" t="n"/>
    </row>
    <row r="7">
      <c r="A7" s="5" t="n"/>
      <c r="B7" s="5" t="n"/>
      <c r="C7" s="5" t="n"/>
      <c r="D7" s="5" t="n"/>
      <c r="E7" s="5" t="n"/>
      <c r="F7" s="5" t="n"/>
      <c r="G7" s="5" t="n"/>
      <c r="H7" s="5" t="n"/>
      <c r="I7" s="5" t="n"/>
      <c r="J7" s="6" t="n"/>
      <c r="K7" s="5" t="n"/>
      <c r="L7" s="5" t="n"/>
      <c r="M7" s="5" t="n"/>
      <c r="N7" s="5" t="n"/>
      <c r="O7" s="5" t="n"/>
    </row>
    <row r="8">
      <c r="A8" s="5" t="n"/>
      <c r="B8" s="5" t="n"/>
      <c r="C8" s="5" t="n"/>
      <c r="D8" s="5" t="n"/>
      <c r="E8" s="5" t="n"/>
      <c r="F8" s="5" t="n"/>
      <c r="G8" s="5" t="n"/>
      <c r="H8" s="5" t="n"/>
      <c r="I8" s="5" t="n"/>
      <c r="J8" s="6" t="n"/>
      <c r="K8" s="5" t="n"/>
      <c r="L8" s="5" t="n"/>
      <c r="M8" s="5" t="n"/>
      <c r="N8" s="5" t="n"/>
      <c r="O8" s="5" t="n"/>
    </row>
    <row r="9">
      <c r="A9" s="5" t="n"/>
      <c r="B9" s="5" t="n"/>
      <c r="C9" s="5" t="n"/>
      <c r="D9" s="5" t="n"/>
      <c r="E9" s="5" t="n"/>
      <c r="F9" s="5" t="n"/>
      <c r="G9" s="5" t="n"/>
      <c r="H9" s="5" t="n"/>
      <c r="I9" s="5" t="n"/>
      <c r="J9" s="6" t="n"/>
      <c r="K9" s="5" t="n"/>
      <c r="L9" s="5" t="n"/>
      <c r="M9" s="5" t="n"/>
      <c r="N9" s="5" t="n"/>
      <c r="O9" s="5" t="n"/>
    </row>
    <row r="10">
      <c r="A10" s="5" t="n"/>
      <c r="B10" s="5" t="n"/>
      <c r="C10" s="5" t="n"/>
      <c r="D10" s="5" t="n"/>
      <c r="E10" s="5" t="n"/>
      <c r="F10" s="5" t="n"/>
      <c r="G10" s="5" t="n"/>
      <c r="H10" s="5" t="n"/>
      <c r="I10" s="5" t="n"/>
      <c r="J10" s="6" t="n"/>
      <c r="K10" s="5" t="n"/>
      <c r="L10" s="5" t="n"/>
      <c r="M10" s="5" t="n"/>
      <c r="N10" s="5" t="n"/>
      <c r="O10" s="5" t="n"/>
    </row>
    <row r="11">
      <c r="A11" s="5" t="n"/>
      <c r="B11" s="5" t="n"/>
      <c r="C11" s="5" t="n"/>
      <c r="D11" s="5" t="n"/>
      <c r="E11" s="5" t="n"/>
      <c r="F11" s="5" t="n"/>
      <c r="G11" s="5" t="n"/>
      <c r="H11" s="5" t="n"/>
      <c r="I11" s="5" t="n"/>
      <c r="J11" s="6" t="n"/>
      <c r="K11" s="5" t="n"/>
      <c r="L11" s="5" t="n"/>
      <c r="M11" s="5" t="n"/>
      <c r="N11" s="5" t="n"/>
      <c r="O11" s="5" t="n"/>
    </row>
    <row r="12">
      <c r="A12" s="5" t="n"/>
      <c r="B12" s="5" t="n"/>
      <c r="C12" s="5" t="n"/>
      <c r="D12" s="5" t="n"/>
      <c r="E12" s="5" t="n"/>
      <c r="F12" s="5" t="n"/>
      <c r="G12" s="5" t="n"/>
      <c r="H12" s="5" t="n"/>
      <c r="I12" s="5" t="n"/>
      <c r="J12" s="6" t="n"/>
      <c r="K12" s="5" t="n"/>
      <c r="L12" s="5" t="n"/>
      <c r="M12" s="5" t="n"/>
      <c r="N12" s="5" t="n"/>
      <c r="O12" s="5" t="n"/>
    </row>
    <row r="13">
      <c r="A13" s="5" t="n"/>
      <c r="B13" s="5" t="n"/>
      <c r="C13" s="5" t="n"/>
      <c r="D13" s="5" t="n"/>
      <c r="E13" s="5" t="n"/>
      <c r="F13" s="5" t="n"/>
      <c r="G13" s="5" t="n"/>
      <c r="H13" s="5" t="n"/>
      <c r="I13" s="5" t="n"/>
      <c r="J13" s="6" t="n"/>
      <c r="K13" s="5" t="n"/>
      <c r="L13" s="5" t="n"/>
      <c r="M13" s="5" t="n"/>
      <c r="N13" s="5" t="n"/>
      <c r="O13" s="5" t="n"/>
    </row>
    <row r="14">
      <c r="A14" s="5" t="n"/>
      <c r="B14" s="5" t="n"/>
      <c r="C14" s="5" t="n"/>
      <c r="D14" s="5" t="n"/>
      <c r="E14" s="5" t="n"/>
      <c r="F14" s="5" t="n"/>
      <c r="G14" s="5" t="n"/>
      <c r="H14" s="5" t="n"/>
      <c r="I14" s="5" t="n"/>
      <c r="J14" s="6" t="n"/>
      <c r="K14" s="5" t="n"/>
      <c r="L14" s="5" t="n"/>
      <c r="M14" s="5" t="n"/>
      <c r="N14" s="5" t="n"/>
      <c r="O14" s="5" t="n"/>
    </row>
    <row r="15">
      <c r="A15" s="5" t="n"/>
      <c r="B15" s="5" t="n"/>
      <c r="C15" s="5" t="n"/>
      <c r="D15" s="5" t="n"/>
      <c r="E15" s="5" t="n"/>
      <c r="F15" s="5" t="n"/>
      <c r="G15" s="5" t="n"/>
      <c r="H15" s="5" t="n"/>
      <c r="I15" s="5" t="n"/>
      <c r="J15" s="6" t="n"/>
      <c r="K15" s="5" t="n"/>
      <c r="L15" s="5" t="n"/>
      <c r="M15" s="5" t="n"/>
      <c r="N15" s="5" t="n"/>
      <c r="O15" s="5" t="n"/>
    </row>
    <row r="16">
      <c r="A16" s="5" t="n"/>
      <c r="B16" s="5" t="n"/>
      <c r="C16" s="5" t="n"/>
      <c r="D16" s="5" t="n"/>
      <c r="E16" s="5" t="n"/>
      <c r="F16" s="5" t="n"/>
      <c r="G16" s="5" t="n"/>
      <c r="H16" s="5" t="n"/>
      <c r="I16" s="5" t="n"/>
      <c r="J16" s="6" t="n"/>
      <c r="K16" s="5" t="n"/>
      <c r="L16" s="5" t="n"/>
      <c r="M16" s="5" t="n"/>
      <c r="N16" s="5" t="n"/>
      <c r="O16" s="5" t="n"/>
    </row>
    <row r="17">
      <c r="A17" s="5" t="n"/>
      <c r="B17" s="5" t="n"/>
      <c r="C17" s="5" t="n"/>
      <c r="D17" s="5" t="n"/>
      <c r="E17" s="5" t="n"/>
      <c r="F17" s="5" t="n"/>
      <c r="G17" s="5" t="n"/>
      <c r="H17" s="5" t="n"/>
      <c r="I17" s="5" t="n"/>
      <c r="J17" s="6" t="n"/>
      <c r="K17" s="5" t="n"/>
      <c r="L17" s="5" t="n"/>
      <c r="M17" s="5" t="n"/>
      <c r="N17" s="5" t="n"/>
      <c r="O17" s="5" t="n"/>
    </row>
    <row r="18">
      <c r="A18" s="5" t="n"/>
      <c r="B18" s="5" t="n"/>
      <c r="C18" s="5" t="n"/>
      <c r="D18" s="5" t="n"/>
      <c r="E18" s="5" t="n"/>
      <c r="F18" s="5" t="n"/>
      <c r="G18" s="5" t="n"/>
      <c r="H18" s="5" t="n"/>
      <c r="I18" s="5" t="n"/>
      <c r="J18" s="6" t="n"/>
      <c r="K18" s="5" t="n"/>
      <c r="L18" s="5" t="n"/>
      <c r="M18" s="5" t="n"/>
      <c r="N18" s="5" t="n"/>
      <c r="O18" s="5" t="n"/>
    </row>
    <row r="19">
      <c r="A19" s="5" t="n"/>
      <c r="B19" s="5" t="n"/>
      <c r="C19" s="5" t="n"/>
      <c r="D19" s="5" t="n"/>
      <c r="E19" s="5" t="n"/>
      <c r="F19" s="5" t="n"/>
      <c r="G19" s="5" t="n"/>
      <c r="H19" s="5" t="n"/>
      <c r="I19" s="5" t="n"/>
      <c r="J19" s="6" t="n"/>
      <c r="K19" s="5" t="n"/>
      <c r="L19" s="5" t="n"/>
      <c r="M19" s="5" t="n"/>
      <c r="N19" s="5" t="n"/>
      <c r="O19" s="5" t="n"/>
    </row>
    <row r="20">
      <c r="A20" s="5" t="n"/>
      <c r="B20" s="5" t="n"/>
      <c r="C20" s="5" t="n"/>
      <c r="D20" s="5" t="n"/>
      <c r="E20" s="5" t="n"/>
      <c r="F20" s="5" t="n"/>
      <c r="G20" s="5" t="n"/>
      <c r="H20" s="5" t="n"/>
      <c r="I20" s="5" t="n"/>
      <c r="J20" s="6" t="n"/>
      <c r="K20" s="5" t="n"/>
      <c r="L20" s="5" t="n"/>
      <c r="M20" s="5" t="n"/>
      <c r="N20" s="5" t="n"/>
      <c r="O20" s="5" t="n"/>
    </row>
    <row r="21">
      <c r="A21" s="5" t="n"/>
      <c r="B21" s="5" t="n"/>
      <c r="C21" s="5" t="n"/>
      <c r="D21" s="5" t="n"/>
      <c r="E21" s="5" t="n"/>
      <c r="F21" s="5" t="n"/>
      <c r="G21" s="5" t="n"/>
      <c r="H21" s="5" t="n"/>
      <c r="I21" s="5" t="n"/>
      <c r="J21" s="6" t="n"/>
      <c r="K21" s="5" t="n"/>
      <c r="L21" s="5" t="n"/>
      <c r="M21" s="5" t="n"/>
      <c r="N21" s="5" t="n"/>
      <c r="O21" s="5" t="n"/>
    </row>
    <row r="22">
      <c r="A22" s="5" t="n"/>
      <c r="B22" s="5" t="n"/>
      <c r="C22" s="5" t="n"/>
      <c r="D22" s="5" t="n"/>
      <c r="E22" s="5" t="n"/>
      <c r="F22" s="5" t="n"/>
      <c r="G22" s="5" t="n"/>
      <c r="H22" s="5" t="n"/>
      <c r="I22" s="5" t="n"/>
      <c r="J22" s="6" t="n"/>
      <c r="K22" s="5" t="n"/>
      <c r="L22" s="5" t="n"/>
      <c r="M22" s="5" t="n"/>
      <c r="N22" s="5" t="n"/>
      <c r="O22" s="5" t="n"/>
    </row>
    <row r="23">
      <c r="A23" s="5" t="n"/>
      <c r="B23" s="5" t="n"/>
      <c r="C23" s="5" t="n"/>
      <c r="D23" s="5" t="n"/>
      <c r="E23" s="5" t="n"/>
      <c r="F23" s="5" t="n"/>
      <c r="G23" s="5" t="n"/>
      <c r="H23" s="5" t="n"/>
      <c r="I23" s="5" t="n"/>
      <c r="J23" s="6" t="n"/>
      <c r="K23" s="5" t="n"/>
      <c r="L23" s="5" t="n"/>
      <c r="M23" s="5" t="n"/>
      <c r="N23" s="5" t="n"/>
      <c r="O23" s="5" t="n"/>
    </row>
    <row r="24">
      <c r="A24" s="5" t="n"/>
      <c r="B24" s="5" t="n"/>
      <c r="C24" s="5" t="n"/>
      <c r="D24" s="5" t="n"/>
      <c r="E24" s="5" t="n"/>
      <c r="F24" s="5" t="n"/>
      <c r="G24" s="5" t="n"/>
      <c r="H24" s="5" t="n"/>
      <c r="I24" s="5" t="n"/>
      <c r="J24" s="6" t="n"/>
      <c r="K24" s="5" t="n"/>
      <c r="L24" s="5" t="n"/>
      <c r="M24" s="5" t="n"/>
      <c r="N24" s="5" t="n"/>
      <c r="O24" s="5" t="n"/>
    </row>
    <row r="25">
      <c r="A25" s="5" t="n"/>
      <c r="B25" s="5" t="n"/>
      <c r="C25" s="5" t="n"/>
      <c r="D25" s="5" t="n"/>
      <c r="E25" s="5" t="n"/>
      <c r="F25" s="5" t="n"/>
      <c r="G25" s="5" t="n"/>
      <c r="H25" s="5" t="n"/>
      <c r="I25" s="5" t="n"/>
      <c r="J25" s="6" t="n"/>
      <c r="K25" s="5" t="n"/>
      <c r="L25" s="5" t="n"/>
      <c r="M25" s="5" t="n"/>
      <c r="N25" s="5" t="n"/>
      <c r="O25" s="5" t="n"/>
    </row>
    <row r="26">
      <c r="A26" s="5" t="n"/>
      <c r="B26" s="5" t="n"/>
      <c r="C26" s="5" t="n"/>
      <c r="D26" s="5" t="n"/>
      <c r="E26" s="5" t="n"/>
      <c r="F26" s="5" t="n"/>
      <c r="G26" s="5" t="n"/>
      <c r="H26" s="5" t="n"/>
      <c r="I26" s="5" t="n"/>
      <c r="J26" s="6" t="n"/>
      <c r="K26" s="5" t="n"/>
      <c r="L26" s="5" t="n"/>
      <c r="M26" s="5" t="n"/>
      <c r="N26" s="5" t="n"/>
      <c r="O26" s="5" t="n"/>
    </row>
    <row r="27">
      <c r="A27" s="5" t="n"/>
      <c r="B27" s="5" t="n"/>
      <c r="C27" s="5" t="n"/>
      <c r="D27" s="5" t="n"/>
      <c r="E27" s="5" t="n"/>
      <c r="F27" s="5" t="n"/>
      <c r="G27" s="5" t="n"/>
      <c r="H27" s="5" t="n"/>
      <c r="I27" s="5" t="n"/>
      <c r="J27" s="6" t="n"/>
      <c r="K27" s="5" t="n"/>
      <c r="L27" s="5" t="n"/>
      <c r="M27" s="5" t="n"/>
      <c r="N27" s="5" t="n"/>
      <c r="O27" s="5" t="n"/>
    </row>
    <row r="28">
      <c r="A28" s="5" t="n"/>
      <c r="B28" s="5" t="n"/>
      <c r="C28" s="5" t="n"/>
      <c r="D28" s="5" t="n"/>
      <c r="E28" s="5" t="n"/>
      <c r="F28" s="5" t="n"/>
      <c r="G28" s="5" t="n"/>
      <c r="H28" s="5" t="n"/>
      <c r="I28" s="5" t="n"/>
      <c r="J28" s="6" t="n"/>
      <c r="K28" s="5" t="n"/>
      <c r="L28" s="5" t="n"/>
      <c r="M28" s="5" t="n"/>
      <c r="N28" s="5" t="n"/>
      <c r="O28" s="5" t="n"/>
    </row>
    <row r="29">
      <c r="A29" s="5" t="n"/>
      <c r="B29" s="5" t="n"/>
      <c r="C29" s="5" t="n"/>
      <c r="D29" s="5" t="n"/>
      <c r="E29" s="5" t="n"/>
      <c r="F29" s="5" t="n"/>
      <c r="G29" s="5" t="n"/>
      <c r="H29" s="5" t="n"/>
      <c r="I29" s="5" t="n"/>
      <c r="J29" s="6" t="n"/>
      <c r="K29" s="5" t="n"/>
      <c r="L29" s="5" t="n"/>
      <c r="M29" s="5" t="n"/>
      <c r="N29" s="5" t="n"/>
      <c r="O29" s="5" t="n"/>
    </row>
    <row r="30">
      <c r="A30" s="5" t="n"/>
      <c r="B30" s="5" t="n"/>
      <c r="C30" s="5" t="n"/>
      <c r="D30" s="5" t="n"/>
      <c r="E30" s="5" t="n"/>
      <c r="F30" s="5" t="n"/>
      <c r="G30" s="5" t="n"/>
      <c r="H30" s="5" t="n"/>
      <c r="I30" s="5" t="n"/>
      <c r="J30" s="6" t="n"/>
      <c r="K30" s="5" t="n"/>
      <c r="L30" s="5" t="n"/>
      <c r="M30" s="5" t="n"/>
      <c r="N30" s="5" t="n"/>
      <c r="O30" s="5" t="n"/>
    </row>
  </sheetData>
  <dataValidations count="1">
    <dataValidation sqref="G5:G30" showDropDown="0" showInputMessage="0" showErrorMessage="0" allowBlank="1" type="list">
      <formula1>"Low,Medium,High"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34" customWidth="1" min="1" max="1"/>
    <col width="26" customWidth="1" min="2" max="2"/>
    <col width="26" customWidth="1" min="3" max="3"/>
    <col width="30" customWidth="1" min="4" max="4"/>
    <col width="14" customWidth="1" min="5" max="5"/>
  </cols>
  <sheetData>
    <row r="1">
      <c r="A1" s="1" t="inlineStr">
        <is>
          <t>Intake and risk tiering (Chapter 4)</t>
        </is>
      </c>
    </row>
    <row r="2">
      <c r="A2" s="2" t="inlineStr">
        <is>
          <t>Choose Low, Medium, or High for each factor. The highest answer sets the tier.</t>
        </is>
      </c>
    </row>
    <row r="4" ht="30" customHeight="1">
      <c r="A4" s="3" t="inlineStr">
        <is>
          <t>Factor</t>
        </is>
      </c>
      <c r="B4" s="3" t="inlineStr">
        <is>
          <t>Low</t>
        </is>
      </c>
      <c r="C4" s="3" t="inlineStr">
        <is>
          <t>Medium</t>
        </is>
      </c>
      <c r="D4" s="3" t="inlineStr">
        <is>
          <t>High</t>
        </is>
      </c>
      <c r="E4" s="3" t="inlineStr">
        <is>
          <t>Answer</t>
        </is>
      </c>
    </row>
    <row r="5">
      <c r="A5" s="4" t="inlineStr">
        <is>
          <t>1. What data does it use?</t>
        </is>
      </c>
      <c r="B5" s="4" t="inlineStr">
        <is>
          <t>Public or internal</t>
        </is>
      </c>
      <c r="C5" s="4" t="inlineStr">
        <is>
          <t>Confidential business data or staff personal data</t>
        </is>
      </c>
      <c r="D5" s="4" t="inlineStr">
        <is>
          <t>Customer personal or financial data, regulated or partner data</t>
        </is>
      </c>
      <c r="E5" s="5" t="inlineStr">
        <is>
          <t>High</t>
        </is>
      </c>
    </row>
    <row r="6">
      <c r="A6" s="4" t="inlineStr">
        <is>
          <t>2. Who sees or is affected by the output?</t>
        </is>
      </c>
      <c r="B6" s="4" t="inlineStr">
        <is>
          <t>Internal team</t>
        </is>
      </c>
      <c r="C6" s="4" t="inlineStr">
        <is>
          <t>Enterprise-wide or partners</t>
        </is>
      </c>
      <c r="D6" s="4" t="inlineStr">
        <is>
          <t>Customers or the public</t>
        </is>
      </c>
      <c r="E6" s="5" t="inlineStr">
        <is>
          <t>High</t>
        </is>
      </c>
    </row>
    <row r="7">
      <c r="A7" s="4" t="inlineStr">
        <is>
          <t>3. Does it inform, influence, or make decisions?</t>
        </is>
      </c>
      <c r="B7" s="4" t="inlineStr">
        <is>
          <t>Informs a person</t>
        </is>
      </c>
      <c r="C7" s="4" t="inlineStr">
        <is>
          <t>Influences operations</t>
        </is>
      </c>
      <c r="D7" s="4" t="inlineStr">
        <is>
          <t>Credit, account, or financial outcomes</t>
        </is>
      </c>
      <c r="E7" s="5" t="inlineStr">
        <is>
          <t>High</t>
        </is>
      </c>
    </row>
    <row r="8">
      <c r="A8" s="4" t="inlineStr">
        <is>
          <t>4. Can it act without a person approving?</t>
        </is>
      </c>
      <c r="B8" s="4" t="inlineStr">
        <is>
          <t>Suggests to the user only</t>
        </is>
      </c>
      <c r="C8" s="4" t="inlineStr">
        <is>
          <t>Drafts for others, with approval</t>
        </is>
      </c>
      <c r="D8" s="4" t="inlineStr">
        <is>
          <t>Acts on its own</t>
        </is>
      </c>
      <c r="E8" s="5" t="inlineStr">
        <is>
          <t>Medium</t>
        </is>
      </c>
    </row>
    <row r="9">
      <c r="A9" s="4" t="inlineStr">
        <is>
          <t>5. Which vendor and model?</t>
        </is>
      </c>
      <c r="B9" s="4" t="inlineStr">
        <is>
          <t>Approved platform</t>
        </is>
      </c>
      <c r="C9" s="4" t="inlineStr">
        <is>
          <t>Approved vendor, catalog model new to this use</t>
        </is>
      </c>
      <c r="D9" s="4" t="inlineStr">
        <is>
          <t>New vendor, or model outside the catalog</t>
        </is>
      </c>
      <c r="E9" s="5" t="inlineStr">
        <is>
          <t>Low</t>
        </is>
      </c>
    </row>
    <row r="10">
      <c r="A10" s="4" t="inlineStr">
        <is>
          <t>6. How many users, and what volume?</t>
        </is>
      </c>
      <c r="B10" s="4" t="inlineStr">
        <is>
          <t>One team</t>
        </is>
      </c>
      <c r="C10" s="4" t="inlineStr">
        <is>
          <t>Multiple departments</t>
        </is>
      </c>
      <c r="D10" s="4" t="inlineStr">
        <is>
          <t>External or high volume</t>
        </is>
      </c>
      <c r="E10" s="5" t="inlineStr">
        <is>
          <t>High</t>
        </is>
      </c>
    </row>
    <row r="12">
      <c r="A12" s="4" t="inlineStr">
        <is>
          <t>Tier (highest answer)</t>
        </is>
      </c>
      <c r="E12" s="4">
        <f>IF(COUNTIF(E5:E10,"High")&gt;0,"High",IF(COUNTIF(E5:E10,"Medium")&gt;0,"Medium",IF(COUNTIF(E5:E10,"Low")&gt;0,"Low","")))</f>
        <v/>
      </c>
    </row>
    <row r="13">
      <c r="A13" s="4" t="inlineStr">
        <is>
          <t>Number of High answers</t>
        </is>
      </c>
      <c r="E13" s="4">
        <f>COUNTIF(E5:E10,"High")</f>
        <v/>
      </c>
    </row>
    <row r="14">
      <c r="A14" s="4" t="inlineStr">
        <is>
          <t>Turnaround target (business days)</t>
        </is>
      </c>
      <c r="E14" s="4">
        <f>IF(E12="High","20 (next review board meeting)",IF(E12="Medium","10",IF(E12="Low","2","")))</f>
        <v/>
      </c>
    </row>
    <row r="16" ht="30" customHeight="1">
      <c r="A16" s="3" t="inlineStr">
        <is>
          <t>Item</t>
        </is>
      </c>
      <c r="B16" s="3" t="inlineStr">
        <is>
          <t>Entry</t>
        </is>
      </c>
    </row>
    <row r="17">
      <c r="A17" s="4" t="inlineStr">
        <is>
          <t>Request name and inventory number</t>
        </is>
      </c>
      <c r="B17" s="5" t="inlineStr">
        <is>
          <t>Complaint outcome letters to customers (FYT-031)</t>
        </is>
      </c>
    </row>
    <row r="18">
      <c r="A18" s="4" t="inlineStr">
        <is>
          <t>Business owner and technical owner</t>
        </is>
      </c>
      <c r="B18" s="5" t="inlineStr">
        <is>
          <t>Head of complaints / correspondence platform lead</t>
        </is>
      </c>
    </row>
    <row r="19">
      <c r="A19" s="4" t="inlineStr">
        <is>
          <t>Decision and date</t>
        </is>
      </c>
      <c r="B19" s="5" t="inlineStr">
        <is>
          <t>Approve with conditions</t>
        </is>
      </c>
    </row>
    <row r="20">
      <c r="A20" s="4" t="inlineStr">
        <is>
          <t>Conditions (each with owner and date)</t>
        </is>
      </c>
      <c r="B20" s="5" t="inlineStr">
        <is>
          <t>Specialist approves every letter; outcome sentence from complaints system; 100 letters sampled monthly</t>
        </is>
      </c>
    </row>
    <row r="21">
      <c r="A21" s="4" t="inlineStr">
        <is>
          <t>Mandatory? If yes, the requirement it meets</t>
        </is>
      </c>
      <c r="B21" s="5" t="inlineStr">
        <is>
          <t>No</t>
        </is>
      </c>
    </row>
    <row r="22">
      <c r="A22" s="4" t="inlineStr">
        <is>
          <t>Data readiness: available and owned; quality measured; use permitted</t>
        </is>
      </c>
      <c r="B22" s="5" t="inlineStr">
        <is>
          <t>Complaint records available and owned by complaints team; quality checked; use permitted under existing terms</t>
        </is>
      </c>
    </row>
    <row r="23">
      <c r="A23" s="4" t="inlineStr">
        <is>
          <t>Layer: use case under a standard profile, or governed investment</t>
        </is>
      </c>
      <c r="B23" s="5" t="inlineStr">
        <is>
          <t>Governed investment (High tier; output reaches customers)</t>
        </is>
      </c>
    </row>
    <row r="24">
      <c r="A24" s="4" t="inlineStr">
        <is>
          <t>Threshold sheet signed (governed investments)</t>
        </is>
      </c>
      <c r="B24" s="5" t="inlineStr">
        <is>
          <t>Yes</t>
        </is>
      </c>
    </row>
  </sheetData>
  <dataValidations count="1">
    <dataValidation sqref="E5:E10" showDropDown="0" showInputMessage="0" showErrorMessage="0" allowBlank="1" type="list">
      <formula1>"Low,Medium,High"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8" customWidth="1" min="3" max="3"/>
    <col width="12" customWidth="1" min="4" max="4"/>
    <col width="12" customWidth="1" min="5" max="5"/>
    <col width="12" customWidth="1" min="6" max="6"/>
    <col width="12" customWidth="1" min="7" max="7"/>
    <col width="10" customWidth="1" min="8" max="8"/>
    <col width="12" customWidth="1" min="9" max="9"/>
    <col width="26" customWidth="1" min="10" max="10"/>
    <col width="10" customWidth="1" min="11" max="11"/>
    <col width="8" customWidth="1" min="12" max="12"/>
  </cols>
  <sheetData>
    <row r="1">
      <c r="A1" s="1" t="inlineStr">
        <is>
          <t>Explore entry scorecard (Chapter 13)</t>
        </is>
      </c>
    </row>
    <row r="2">
      <c r="A2" s="2" t="inlineStr">
        <is>
          <t>Score each idea Low, Medium, or High. Low strategic fit, no business owner, or data not ready means it does not enter. Mandatory investments skip the ranking. Check the record of stopped ideas first: a proposal with the same purpose must show what has changed since the stop.</t>
        </is>
      </c>
    </row>
    <row r="4" ht="30" customHeight="1">
      <c r="A4" s="3" t="inlineStr">
        <is>
          <t>Idea</t>
        </is>
      </c>
      <c r="B4" s="3" t="inlineStr">
        <is>
          <t>Business owner</t>
        </is>
      </c>
      <c r="C4" s="3" t="inlineStr">
        <is>
          <t>Business objective</t>
        </is>
      </c>
      <c r="D4" s="3" t="inlineStr">
        <is>
          <t>Strategic fit</t>
        </is>
      </c>
      <c r="E4" s="3" t="inlineStr">
        <is>
          <t>Size of value</t>
        </is>
      </c>
      <c r="F4" s="3" t="inlineStr">
        <is>
          <t>Feasibility</t>
        </is>
      </c>
      <c r="G4" s="3" t="inlineStr">
        <is>
          <t>Risk</t>
        </is>
      </c>
      <c r="H4" s="3" t="inlineStr">
        <is>
          <t>Data ready?</t>
        </is>
      </c>
      <c r="I4" s="3" t="inlineStr">
        <is>
          <t>Mandatory?</t>
        </is>
      </c>
      <c r="J4" s="3" t="inlineStr">
        <is>
          <t>Eligibility</t>
        </is>
      </c>
      <c r="K4" s="3" t="inlineStr">
        <is>
          <t>Rank score</t>
        </is>
      </c>
      <c r="L4" s="3" t="inlineStr">
        <is>
          <t>Rank</t>
        </is>
      </c>
    </row>
    <row r="5">
      <c r="A5" s="5" t="inlineStr">
        <is>
          <t>Mortgage document checks</t>
        </is>
      </c>
      <c r="B5" s="5" t="inlineStr">
        <is>
          <t>Head of mortgage operations</t>
        </is>
      </c>
      <c r="C5" s="5" t="inlineStr">
        <is>
          <t>Faster mortgage decisions</t>
        </is>
      </c>
      <c r="D5" s="5" t="inlineStr">
        <is>
          <t>High</t>
        </is>
      </c>
      <c r="E5" s="5" t="inlineStr">
        <is>
          <t>High</t>
        </is>
      </c>
      <c r="F5" s="5" t="inlineStr">
        <is>
          <t>Medium</t>
        </is>
      </c>
      <c r="G5" s="5" t="inlineStr">
        <is>
          <t>Medium</t>
        </is>
      </c>
      <c r="H5" s="5" t="inlineStr">
        <is>
          <t>Yes</t>
        </is>
      </c>
      <c r="I5" s="5" t="inlineStr">
        <is>
          <t>No</t>
        </is>
      </c>
      <c r="J5" s="4">
        <f>IF(A5="","",IF(I5="Yes","Mandatory: skips ranking",IF(OR(D5="Low",B5="",H5&lt;&gt;"Yes"),"Does not enter","Eligible")))</f>
        <v/>
      </c>
      <c r="K5" s="4">
        <f>IF(J5="Eligible",(E5="Low")*1+(E5="Medium")*2+(E5="High")*3+(F5="Low")*1+(F5="Medium")*2+(F5="High")*3,"")</f>
        <v/>
      </c>
      <c r="L5" s="4">
        <f>IF(K5="","",COUNTIF($K$5:$K$24,"&gt;"&amp;K5)+1)</f>
        <v/>
      </c>
    </row>
    <row r="6">
      <c r="A6" s="5" t="inlineStr">
        <is>
          <t>Branch queue forecasting</t>
        </is>
      </c>
      <c r="B6" s="5" t="inlineStr">
        <is>
          <t>Head of branch network</t>
        </is>
      </c>
      <c r="C6" s="5" t="inlineStr">
        <is>
          <t>Lower branch staffing cost</t>
        </is>
      </c>
      <c r="D6" s="5" t="inlineStr">
        <is>
          <t>Medium</t>
        </is>
      </c>
      <c r="E6" s="5" t="inlineStr">
        <is>
          <t>High</t>
        </is>
      </c>
      <c r="F6" s="5" t="inlineStr">
        <is>
          <t>High</t>
        </is>
      </c>
      <c r="G6" s="5" t="inlineStr">
        <is>
          <t>Low</t>
        </is>
      </c>
      <c r="H6" s="5" t="inlineStr">
        <is>
          <t>No</t>
        </is>
      </c>
      <c r="I6" s="5" t="inlineStr">
        <is>
          <t>No</t>
        </is>
      </c>
      <c r="J6" s="4">
        <f>IF(A6="","",IF(I6="Yes","Mandatory: skips ranking",IF(OR(D6="Low",B6="",H6&lt;&gt;"Yes"),"Does not enter","Eligible")))</f>
        <v/>
      </c>
      <c r="K6" s="4">
        <f>IF(J6="Eligible",(E6="Low")*1+(E6="Medium")*2+(E6="High")*3+(F6="Low")*1+(F6="Medium")*2+(F6="High")*3,"")</f>
        <v/>
      </c>
      <c r="L6" s="4">
        <f>IF(K6="","",COUNTIF($K$5:$K$24,"&gt;"&amp;K6)+1)</f>
        <v/>
      </c>
    </row>
    <row r="7">
      <c r="A7" s="5" t="inlineStr">
        <is>
          <t>Suspicious activity report drafting</t>
        </is>
      </c>
      <c r="B7" s="5" t="inlineStr">
        <is>
          <t>Head of financial crime</t>
        </is>
      </c>
      <c r="C7" s="5" t="inlineStr">
        <is>
          <t>Meet reporting obligations</t>
        </is>
      </c>
      <c r="D7" s="5" t="inlineStr">
        <is>
          <t>High</t>
        </is>
      </c>
      <c r="E7" s="5" t="inlineStr">
        <is>
          <t>Low</t>
        </is>
      </c>
      <c r="F7" s="5" t="inlineStr">
        <is>
          <t>Medium</t>
        </is>
      </c>
      <c r="G7" s="5" t="inlineStr">
        <is>
          <t>High</t>
        </is>
      </c>
      <c r="H7" s="5" t="inlineStr">
        <is>
          <t>Yes</t>
        </is>
      </c>
      <c r="I7" s="5" t="inlineStr">
        <is>
          <t>Yes</t>
        </is>
      </c>
      <c r="J7" s="4">
        <f>IF(A7="","",IF(I7="Yes","Mandatory: skips ranking",IF(OR(D7="Low",B7="",H7&lt;&gt;"Yes"),"Does not enter","Eligible")))</f>
        <v/>
      </c>
      <c r="K7" s="4">
        <f>IF(J7="Eligible",(E7="Low")*1+(E7="Medium")*2+(E7="High")*3+(F7="Low")*1+(F7="Medium")*2+(F7="High")*3,"")</f>
        <v/>
      </c>
      <c r="L7" s="4">
        <f>IF(K7="","",COUNTIF($K$5:$K$24,"&gt;"&amp;K7)+1)</f>
        <v/>
      </c>
    </row>
    <row r="8">
      <c r="A8" s="5" t="n"/>
      <c r="B8" s="5" t="n"/>
      <c r="C8" s="5" t="n"/>
      <c r="D8" s="5" t="n"/>
      <c r="E8" s="5" t="n"/>
      <c r="F8" s="5" t="n"/>
      <c r="G8" s="5" t="n"/>
      <c r="H8" s="5" t="n"/>
      <c r="I8" s="5" t="n"/>
      <c r="J8" s="4">
        <f>IF(A8="","",IF(I8="Yes","Mandatory: skips ranking",IF(OR(D8="Low",B8="",H8&lt;&gt;"Yes"),"Does not enter","Eligible")))</f>
        <v/>
      </c>
      <c r="K8" s="4">
        <f>IF(J8="Eligible",(E8="Low")*1+(E8="Medium")*2+(E8="High")*3+(F8="Low")*1+(F8="Medium")*2+(F8="High")*3,"")</f>
        <v/>
      </c>
      <c r="L8" s="4">
        <f>IF(K8="","",COUNTIF($K$5:$K$24,"&gt;"&amp;K8)+1)</f>
        <v/>
      </c>
    </row>
    <row r="9">
      <c r="A9" s="5" t="n"/>
      <c r="B9" s="5" t="n"/>
      <c r="C9" s="5" t="n"/>
      <c r="D9" s="5" t="n"/>
      <c r="E9" s="5" t="n"/>
      <c r="F9" s="5" t="n"/>
      <c r="G9" s="5" t="n"/>
      <c r="H9" s="5" t="n"/>
      <c r="I9" s="5" t="n"/>
      <c r="J9" s="4">
        <f>IF(A9="","",IF(I9="Yes","Mandatory: skips ranking",IF(OR(D9="Low",B9="",H9&lt;&gt;"Yes"),"Does not enter","Eligible")))</f>
        <v/>
      </c>
      <c r="K9" s="4">
        <f>IF(J9="Eligible",(E9="Low")*1+(E9="Medium")*2+(E9="High")*3+(F9="Low")*1+(F9="Medium")*2+(F9="High")*3,"")</f>
        <v/>
      </c>
      <c r="L9" s="4">
        <f>IF(K9="","",COUNTIF($K$5:$K$24,"&gt;"&amp;K9)+1)</f>
        <v/>
      </c>
    </row>
    <row r="10">
      <c r="A10" s="5" t="n"/>
      <c r="B10" s="5" t="n"/>
      <c r="C10" s="5" t="n"/>
      <c r="D10" s="5" t="n"/>
      <c r="E10" s="5" t="n"/>
      <c r="F10" s="5" t="n"/>
      <c r="G10" s="5" t="n"/>
      <c r="H10" s="5" t="n"/>
      <c r="I10" s="5" t="n"/>
      <c r="J10" s="4">
        <f>IF(A10="","",IF(I10="Yes","Mandatory: skips ranking",IF(OR(D10="Low",B10="",H10&lt;&gt;"Yes"),"Does not enter","Eligible")))</f>
        <v/>
      </c>
      <c r="K10" s="4">
        <f>IF(J10="Eligible",(E10="Low")*1+(E10="Medium")*2+(E10="High")*3+(F10="Low")*1+(F10="Medium")*2+(F10="High")*3,"")</f>
        <v/>
      </c>
      <c r="L10" s="4">
        <f>IF(K10="","",COUNTIF($K$5:$K$24,"&gt;"&amp;K10)+1)</f>
        <v/>
      </c>
    </row>
    <row r="11">
      <c r="A11" s="5" t="n"/>
      <c r="B11" s="5" t="n"/>
      <c r="C11" s="5" t="n"/>
      <c r="D11" s="5" t="n"/>
      <c r="E11" s="5" t="n"/>
      <c r="F11" s="5" t="n"/>
      <c r="G11" s="5" t="n"/>
      <c r="H11" s="5" t="n"/>
      <c r="I11" s="5" t="n"/>
      <c r="J11" s="4">
        <f>IF(A11="","",IF(I11="Yes","Mandatory: skips ranking",IF(OR(D11="Low",B11="",H11&lt;&gt;"Yes"),"Does not enter","Eligible")))</f>
        <v/>
      </c>
      <c r="K11" s="4">
        <f>IF(J11="Eligible",(E11="Low")*1+(E11="Medium")*2+(E11="High")*3+(F11="Low")*1+(F11="Medium")*2+(F11="High")*3,"")</f>
        <v/>
      </c>
      <c r="L11" s="4">
        <f>IF(K11="","",COUNTIF($K$5:$K$24,"&gt;"&amp;K11)+1)</f>
        <v/>
      </c>
    </row>
    <row r="12">
      <c r="A12" s="5" t="n"/>
      <c r="B12" s="5" t="n"/>
      <c r="C12" s="5" t="n"/>
      <c r="D12" s="5" t="n"/>
      <c r="E12" s="5" t="n"/>
      <c r="F12" s="5" t="n"/>
      <c r="G12" s="5" t="n"/>
      <c r="H12" s="5" t="n"/>
      <c r="I12" s="5" t="n"/>
      <c r="J12" s="4">
        <f>IF(A12="","",IF(I12="Yes","Mandatory: skips ranking",IF(OR(D12="Low",B12="",H12&lt;&gt;"Yes"),"Does not enter","Eligible")))</f>
        <v/>
      </c>
      <c r="K12" s="4">
        <f>IF(J12="Eligible",(E12="Low")*1+(E12="Medium")*2+(E12="High")*3+(F12="Low")*1+(F12="Medium")*2+(F12="High")*3,"")</f>
        <v/>
      </c>
      <c r="L12" s="4">
        <f>IF(K12="","",COUNTIF($K$5:$K$24,"&gt;"&amp;K12)+1)</f>
        <v/>
      </c>
    </row>
    <row r="13">
      <c r="A13" s="5" t="n"/>
      <c r="B13" s="5" t="n"/>
      <c r="C13" s="5" t="n"/>
      <c r="D13" s="5" t="n"/>
      <c r="E13" s="5" t="n"/>
      <c r="F13" s="5" t="n"/>
      <c r="G13" s="5" t="n"/>
      <c r="H13" s="5" t="n"/>
      <c r="I13" s="5" t="n"/>
      <c r="J13" s="4">
        <f>IF(A13="","",IF(I13="Yes","Mandatory: skips ranking",IF(OR(D13="Low",B13="",H13&lt;&gt;"Yes"),"Does not enter","Eligible")))</f>
        <v/>
      </c>
      <c r="K13" s="4">
        <f>IF(J13="Eligible",(E13="Low")*1+(E13="Medium")*2+(E13="High")*3+(F13="Low")*1+(F13="Medium")*2+(F13="High")*3,"")</f>
        <v/>
      </c>
      <c r="L13" s="4">
        <f>IF(K13="","",COUNTIF($K$5:$K$24,"&gt;"&amp;K13)+1)</f>
        <v/>
      </c>
    </row>
    <row r="14">
      <c r="A14" s="5" t="n"/>
      <c r="B14" s="5" t="n"/>
      <c r="C14" s="5" t="n"/>
      <c r="D14" s="5" t="n"/>
      <c r="E14" s="5" t="n"/>
      <c r="F14" s="5" t="n"/>
      <c r="G14" s="5" t="n"/>
      <c r="H14" s="5" t="n"/>
      <c r="I14" s="5" t="n"/>
      <c r="J14" s="4">
        <f>IF(A14="","",IF(I14="Yes","Mandatory: skips ranking",IF(OR(D14="Low",B14="",H14&lt;&gt;"Yes"),"Does not enter","Eligible")))</f>
        <v/>
      </c>
      <c r="K14" s="4">
        <f>IF(J14="Eligible",(E14="Low")*1+(E14="Medium")*2+(E14="High")*3+(F14="Low")*1+(F14="Medium")*2+(F14="High")*3,"")</f>
        <v/>
      </c>
      <c r="L14" s="4">
        <f>IF(K14="","",COUNTIF($K$5:$K$24,"&gt;"&amp;K14)+1)</f>
        <v/>
      </c>
    </row>
    <row r="15">
      <c r="A15" s="5" t="n"/>
      <c r="B15" s="5" t="n"/>
      <c r="C15" s="5" t="n"/>
      <c r="D15" s="5" t="n"/>
      <c r="E15" s="5" t="n"/>
      <c r="F15" s="5" t="n"/>
      <c r="G15" s="5" t="n"/>
      <c r="H15" s="5" t="n"/>
      <c r="I15" s="5" t="n"/>
      <c r="J15" s="4">
        <f>IF(A15="","",IF(I15="Yes","Mandatory: skips ranking",IF(OR(D15="Low",B15="",H15&lt;&gt;"Yes"),"Does not enter","Eligible")))</f>
        <v/>
      </c>
      <c r="K15" s="4">
        <f>IF(J15="Eligible",(E15="Low")*1+(E15="Medium")*2+(E15="High")*3+(F15="Low")*1+(F15="Medium")*2+(F15="High")*3,"")</f>
        <v/>
      </c>
      <c r="L15" s="4">
        <f>IF(K15="","",COUNTIF($K$5:$K$24,"&gt;"&amp;K15)+1)</f>
        <v/>
      </c>
    </row>
    <row r="16">
      <c r="A16" s="5" t="n"/>
      <c r="B16" s="5" t="n"/>
      <c r="C16" s="5" t="n"/>
      <c r="D16" s="5" t="n"/>
      <c r="E16" s="5" t="n"/>
      <c r="F16" s="5" t="n"/>
      <c r="G16" s="5" t="n"/>
      <c r="H16" s="5" t="n"/>
      <c r="I16" s="5" t="n"/>
      <c r="J16" s="4">
        <f>IF(A16="","",IF(I16="Yes","Mandatory: skips ranking",IF(OR(D16="Low",B16="",H16&lt;&gt;"Yes"),"Does not enter","Eligible")))</f>
        <v/>
      </c>
      <c r="K16" s="4">
        <f>IF(J16="Eligible",(E16="Low")*1+(E16="Medium")*2+(E16="High")*3+(F16="Low")*1+(F16="Medium")*2+(F16="High")*3,"")</f>
        <v/>
      </c>
      <c r="L16" s="4">
        <f>IF(K16="","",COUNTIF($K$5:$K$24,"&gt;"&amp;K16)+1)</f>
        <v/>
      </c>
    </row>
    <row r="17">
      <c r="A17" s="5" t="n"/>
      <c r="B17" s="5" t="n"/>
      <c r="C17" s="5" t="n"/>
      <c r="D17" s="5" t="n"/>
      <c r="E17" s="5" t="n"/>
      <c r="F17" s="5" t="n"/>
      <c r="G17" s="5" t="n"/>
      <c r="H17" s="5" t="n"/>
      <c r="I17" s="5" t="n"/>
      <c r="J17" s="4">
        <f>IF(A17="","",IF(I17="Yes","Mandatory: skips ranking",IF(OR(D17="Low",B17="",H17&lt;&gt;"Yes"),"Does not enter","Eligible")))</f>
        <v/>
      </c>
      <c r="K17" s="4">
        <f>IF(J17="Eligible",(E17="Low")*1+(E17="Medium")*2+(E17="High")*3+(F17="Low")*1+(F17="Medium")*2+(F17="High")*3,"")</f>
        <v/>
      </c>
      <c r="L17" s="4">
        <f>IF(K17="","",COUNTIF($K$5:$K$24,"&gt;"&amp;K17)+1)</f>
        <v/>
      </c>
    </row>
    <row r="18">
      <c r="A18" s="5" t="n"/>
      <c r="B18" s="5" t="n"/>
      <c r="C18" s="5" t="n"/>
      <c r="D18" s="5" t="n"/>
      <c r="E18" s="5" t="n"/>
      <c r="F18" s="5" t="n"/>
      <c r="G18" s="5" t="n"/>
      <c r="H18" s="5" t="n"/>
      <c r="I18" s="5" t="n"/>
      <c r="J18" s="4">
        <f>IF(A18="","",IF(I18="Yes","Mandatory: skips ranking",IF(OR(D18="Low",B18="",H18&lt;&gt;"Yes"),"Does not enter","Eligible")))</f>
        <v/>
      </c>
      <c r="K18" s="4">
        <f>IF(J18="Eligible",(E18="Low")*1+(E18="Medium")*2+(E18="High")*3+(F18="Low")*1+(F18="Medium")*2+(F18="High")*3,"")</f>
        <v/>
      </c>
      <c r="L18" s="4">
        <f>IF(K18="","",COUNTIF($K$5:$K$24,"&gt;"&amp;K18)+1)</f>
        <v/>
      </c>
    </row>
    <row r="19">
      <c r="A19" s="5" t="n"/>
      <c r="B19" s="5" t="n"/>
      <c r="C19" s="5" t="n"/>
      <c r="D19" s="5" t="n"/>
      <c r="E19" s="5" t="n"/>
      <c r="F19" s="5" t="n"/>
      <c r="G19" s="5" t="n"/>
      <c r="H19" s="5" t="n"/>
      <c r="I19" s="5" t="n"/>
      <c r="J19" s="4">
        <f>IF(A19="","",IF(I19="Yes","Mandatory: skips ranking",IF(OR(D19="Low",B19="",H19&lt;&gt;"Yes"),"Does not enter","Eligible")))</f>
        <v/>
      </c>
      <c r="K19" s="4">
        <f>IF(J19="Eligible",(E19="Low")*1+(E19="Medium")*2+(E19="High")*3+(F19="Low")*1+(F19="Medium")*2+(F19="High")*3,"")</f>
        <v/>
      </c>
      <c r="L19" s="4">
        <f>IF(K19="","",COUNTIF($K$5:$K$24,"&gt;"&amp;K19)+1)</f>
        <v/>
      </c>
    </row>
    <row r="20">
      <c r="A20" s="5" t="n"/>
      <c r="B20" s="5" t="n"/>
      <c r="C20" s="5" t="n"/>
      <c r="D20" s="5" t="n"/>
      <c r="E20" s="5" t="n"/>
      <c r="F20" s="5" t="n"/>
      <c r="G20" s="5" t="n"/>
      <c r="H20" s="5" t="n"/>
      <c r="I20" s="5" t="n"/>
      <c r="J20" s="4">
        <f>IF(A20="","",IF(I20="Yes","Mandatory: skips ranking",IF(OR(D20="Low",B20="",H20&lt;&gt;"Yes"),"Does not enter","Eligible")))</f>
        <v/>
      </c>
      <c r="K20" s="4">
        <f>IF(J20="Eligible",(E20="Low")*1+(E20="Medium")*2+(E20="High")*3+(F20="Low")*1+(F20="Medium")*2+(F20="High")*3,"")</f>
        <v/>
      </c>
      <c r="L20" s="4">
        <f>IF(K20="","",COUNTIF($K$5:$K$24,"&gt;"&amp;K20)+1)</f>
        <v/>
      </c>
    </row>
    <row r="21">
      <c r="A21" s="5" t="n"/>
      <c r="B21" s="5" t="n"/>
      <c r="C21" s="5" t="n"/>
      <c r="D21" s="5" t="n"/>
      <c r="E21" s="5" t="n"/>
      <c r="F21" s="5" t="n"/>
      <c r="G21" s="5" t="n"/>
      <c r="H21" s="5" t="n"/>
      <c r="I21" s="5" t="n"/>
      <c r="J21" s="4">
        <f>IF(A21="","",IF(I21="Yes","Mandatory: skips ranking",IF(OR(D21="Low",B21="",H21&lt;&gt;"Yes"),"Does not enter","Eligible")))</f>
        <v/>
      </c>
      <c r="K21" s="4">
        <f>IF(J21="Eligible",(E21="Low")*1+(E21="Medium")*2+(E21="High")*3+(F21="Low")*1+(F21="Medium")*2+(F21="High")*3,"")</f>
        <v/>
      </c>
      <c r="L21" s="4">
        <f>IF(K21="","",COUNTIF($K$5:$K$24,"&gt;"&amp;K21)+1)</f>
        <v/>
      </c>
    </row>
    <row r="22">
      <c r="A22" s="5" t="n"/>
      <c r="B22" s="5" t="n"/>
      <c r="C22" s="5" t="n"/>
      <c r="D22" s="5" t="n"/>
      <c r="E22" s="5" t="n"/>
      <c r="F22" s="5" t="n"/>
      <c r="G22" s="5" t="n"/>
      <c r="H22" s="5" t="n"/>
      <c r="I22" s="5" t="n"/>
      <c r="J22" s="4">
        <f>IF(A22="","",IF(I22="Yes","Mandatory: skips ranking",IF(OR(D22="Low",B22="",H22&lt;&gt;"Yes"),"Does not enter","Eligible")))</f>
        <v/>
      </c>
      <c r="K22" s="4">
        <f>IF(J22="Eligible",(E22="Low")*1+(E22="Medium")*2+(E22="High")*3+(F22="Low")*1+(F22="Medium")*2+(F22="High")*3,"")</f>
        <v/>
      </c>
      <c r="L22" s="4">
        <f>IF(K22="","",COUNTIF($K$5:$K$24,"&gt;"&amp;K22)+1)</f>
        <v/>
      </c>
    </row>
    <row r="23">
      <c r="A23" s="5" t="n"/>
      <c r="B23" s="5" t="n"/>
      <c r="C23" s="5" t="n"/>
      <c r="D23" s="5" t="n"/>
      <c r="E23" s="5" t="n"/>
      <c r="F23" s="5" t="n"/>
      <c r="G23" s="5" t="n"/>
      <c r="H23" s="5" t="n"/>
      <c r="I23" s="5" t="n"/>
      <c r="J23" s="4">
        <f>IF(A23="","",IF(I23="Yes","Mandatory: skips ranking",IF(OR(D23="Low",B23="",H23&lt;&gt;"Yes"),"Does not enter","Eligible")))</f>
        <v/>
      </c>
      <c r="K23" s="4">
        <f>IF(J23="Eligible",(E23="Low")*1+(E23="Medium")*2+(E23="High")*3+(F23="Low")*1+(F23="Medium")*2+(F23="High")*3,"")</f>
        <v/>
      </c>
      <c r="L23" s="4">
        <f>IF(K23="","",COUNTIF($K$5:$K$24,"&gt;"&amp;K23)+1)</f>
        <v/>
      </c>
    </row>
    <row r="24">
      <c r="A24" s="5" t="n"/>
      <c r="B24" s="5" t="n"/>
      <c r="C24" s="5" t="n"/>
      <c r="D24" s="5" t="n"/>
      <c r="E24" s="5" t="n"/>
      <c r="F24" s="5" t="n"/>
      <c r="G24" s="5" t="n"/>
      <c r="H24" s="5" t="n"/>
      <c r="I24" s="5" t="n"/>
      <c r="J24" s="4">
        <f>IF(A24="","",IF(I24="Yes","Mandatory: skips ranking",IF(OR(D24="Low",B24="",H24&lt;&gt;"Yes"),"Does not enter","Eligible")))</f>
        <v/>
      </c>
      <c r="K24" s="4">
        <f>IF(J24="Eligible",(E24="Low")*1+(E24="Medium")*2+(E24="High")*3+(F24="Low")*1+(F24="Medium")*2+(F24="High")*3,"")</f>
        <v/>
      </c>
      <c r="L24" s="4">
        <f>IF(K24="","",COUNTIF($K$5:$K$24,"&gt;"&amp;K24)+1)</f>
        <v/>
      </c>
    </row>
    <row r="26">
      <c r="A26" s="7" t="inlineStr">
        <is>
          <t>Rank score is size of value plus feasibility (Low 1, Medium 2, High 3). Risk does not rule an idea out; it sets what Explore must prove.</t>
        </is>
      </c>
    </row>
  </sheetData>
  <dataValidations count="2">
    <dataValidation sqref="D5:G24" showDropDown="0" showInputMessage="0" showErrorMessage="0" allowBlank="1" type="list">
      <formula1>"Low,Medium,High"</formula1>
    </dataValidation>
    <dataValidation sqref="H5:I2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1" customWidth="1" min="8" max="8"/>
    <col width="11" customWidth="1" min="9" max="9"/>
    <col width="11" customWidth="1" min="10" max="10"/>
    <col width="10" customWidth="1" min="11" max="11"/>
    <col width="12" customWidth="1" min="12" max="12"/>
    <col width="18" customWidth="1" min="13" max="13"/>
    <col width="16" customWidth="1" min="14" max="14"/>
    <col width="40" customWidth="1" min="15" max="15"/>
    <col width="30" customWidth="1" min="16" max="16"/>
  </cols>
  <sheetData>
    <row r="1">
      <c r="A1" s="1" t="inlineStr">
        <is>
          <t>Threshold sheet and status rules (Chapter 11)</t>
        </is>
      </c>
    </row>
    <row r="2">
      <c r="A2" s="2" t="inlineStr">
        <is>
          <t>Direction: Higher if bigger is better, Lower if smaller is better. Red limit is the edge of the Red zone; leave it blank for leading signals, which set Amber at most. Leave readings blank if not collected.</t>
        </is>
      </c>
    </row>
    <row r="4" ht="30" customHeight="1">
      <c r="A4" s="3" t="inlineStr">
        <is>
          <t>Measure</t>
        </is>
      </c>
      <c r="B4" s="3" t="inlineStr">
        <is>
          <t>Direction</t>
        </is>
      </c>
      <c r="C4" s="3" t="inlineStr">
        <is>
          <t>Baseline</t>
        </is>
      </c>
      <c r="D4" s="3" t="inlineStr">
        <is>
          <t>Green limit</t>
        </is>
      </c>
      <c r="E4" s="3" t="inlineStr">
        <is>
          <t>Red limit</t>
        </is>
      </c>
      <c r="F4" s="3" t="inlineStr">
        <is>
          <t>Min. sample</t>
        </is>
      </c>
      <c r="G4" s="3" t="inlineStr">
        <is>
          <t>Min. decline</t>
        </is>
      </c>
      <c r="H4" s="3" t="inlineStr">
        <is>
          <t>This period</t>
        </is>
      </c>
      <c r="I4" s="3" t="inlineStr">
        <is>
          <t>Last period</t>
        </is>
      </c>
      <c r="J4" s="3" t="inlineStr">
        <is>
          <t>Two periods ago</t>
        </is>
      </c>
      <c r="K4" s="3" t="inlineStr">
        <is>
          <t>Sample size</t>
        </is>
      </c>
      <c r="L4" s="3" t="inlineStr">
        <is>
          <t>Limit / data status</t>
        </is>
      </c>
      <c r="M4" s="3" t="inlineStr">
        <is>
          <t>Trend</t>
        </is>
      </c>
      <c r="N4" s="3" t="inlineStr">
        <is>
          <t>Type</t>
        </is>
      </c>
      <c r="O4" s="3" t="inlineStr">
        <is>
          <t>Reason for the limits</t>
        </is>
      </c>
      <c r="P4" s="3" t="inlineStr">
        <is>
          <t>Source and frequency</t>
        </is>
      </c>
    </row>
    <row r="5">
      <c r="A5" s="5" t="inlineStr">
        <is>
          <t>Live accuracy (%)</t>
        </is>
      </c>
      <c r="B5" s="5" t="inlineStr">
        <is>
          <t>Higher</t>
        </is>
      </c>
      <c r="C5" s="5" t="n">
        <v>92</v>
      </c>
      <c r="D5" s="5" t="n">
        <v>90</v>
      </c>
      <c r="E5" s="5" t="n">
        <v>86</v>
      </c>
      <c r="F5" s="5" t="n">
        <v>150</v>
      </c>
      <c r="G5" s="5" t="n">
        <v>2.5</v>
      </c>
      <c r="H5" s="5" t="n">
        <v>91</v>
      </c>
      <c r="I5" s="5" t="n">
        <v>92</v>
      </c>
      <c r="J5" s="5" t="n">
        <v>93</v>
      </c>
      <c r="K5" s="5" t="n">
        <v>150</v>
      </c>
      <c r="L5" s="4">
        <f>IF(H5="","",IF(AND(F5&lt;&gt;"",K5&lt;F5),"Amber (sample below minimum)",IF(F5&lt;&gt;"",IF(B5="Higher",IF(H5&gt;=D5,"Green",IF(OR(E5="",H5&gt;=E5),IF(AND(I5&lt;&gt;"",I5&lt;D5),"Amber","Watch (double next sample)"),IF(AND(I5&lt;&gt;"",I5&lt;E5),"Red","Amber (confirm with next sample)"))),IF(H5&lt;=D5,"Green",IF(OR(E5="",H5&lt;=E5),IF(AND(I5&lt;&gt;"",I5&gt;D5),"Amber","Watch (double next sample)"),IF(AND(I5&lt;&gt;"",I5&gt;E5),"Red","Amber (confirm with next sample)")))),IF(B5="Higher",IF(H5&gt;=D5,"Green",IF(OR(E5="",H5&gt;=E5),"Amber","Red")),IF(H5&lt;=D5,"Green",IF(OR(E5="",H5&lt;=E5),"Amber","Red"))))))</f>
        <v/>
      </c>
      <c r="M5" s="4">
        <f>IF(OR(H5="",I5="",J5="",G5=""),"",IF(B5="Higher",IF(AND(J5-I5&gt;=G5,I5-H5&gt;=G5),IF(F5&lt;&gt;"","Watch (declining)","Amber (declining)"),""),IF(AND(I5-J5&gt;=G5,H5-I5&gt;=G5),IF(F5&lt;&gt;"","Watch (declining)","Amber (declining)"),"")))</f>
        <v/>
      </c>
      <c r="N5" s="5" t="inlineStr">
        <is>
          <t>Performance limit</t>
        </is>
      </c>
      <c r="O5" s="5" t="inlineStr">
        <is>
          <t>Green allows about two points of sampling variation below the 92% baseline; Red just below the bottom of the sampling range for 150 samples</t>
        </is>
      </c>
      <c r="P5" s="5" t="inlineStr">
        <is>
          <t>Reviewer-scored live sample, monthly</t>
        </is>
      </c>
    </row>
    <row r="6">
      <c r="A6" s="5" t="inlineStr">
        <is>
          <t>Critical errors reaching customers</t>
        </is>
      </c>
      <c r="B6" s="5" t="inlineStr">
        <is>
          <t>Lower</t>
        </is>
      </c>
      <c r="C6" s="5" t="n">
        <v>0</v>
      </c>
      <c r="D6" s="5" t="n">
        <v>0</v>
      </c>
      <c r="E6" s="5" t="n">
        <v>0</v>
      </c>
      <c r="F6" s="5" t="n"/>
      <c r="G6" s="5" t="n"/>
      <c r="H6" s="5" t="n">
        <v>0</v>
      </c>
      <c r="I6" s="5" t="n">
        <v>0</v>
      </c>
      <c r="J6" s="5" t="n">
        <v>0</v>
      </c>
      <c r="K6" s="5" t="n"/>
      <c r="L6" s="4">
        <f>IF(H6="","",IF(AND(F6&lt;&gt;"",K6&lt;F6),"Amber (sample below minimum)",IF(F6&lt;&gt;"",IF(B6="Higher",IF(H6&gt;=D6,"Green",IF(OR(E6="",H6&gt;=E6),IF(AND(I6&lt;&gt;"",I6&lt;D6),"Amber","Watch (double next sample)"),IF(AND(I6&lt;&gt;"",I6&lt;E6),"Red","Amber (confirm with next sample)"))),IF(H6&lt;=D6,"Green",IF(OR(E6="",H6&lt;=E6),IF(AND(I6&lt;&gt;"",I6&gt;D6),"Amber","Watch (double next sample)"),IF(AND(I6&lt;&gt;"",I6&gt;E6),"Red","Amber (confirm with next sample)")))),IF(B6="Higher",IF(H6&gt;=D6,"Green",IF(OR(E6="",H6&gt;=E6),"Amber","Red")),IF(H6&lt;=D6,"Green",IF(OR(E6="",H6&lt;=E6),"Amber","Red"))))))</f>
        <v/>
      </c>
      <c r="M6" s="4">
        <f>IF(OR(H6="",I6="",J6="",G6=""),"",IF(B6="Higher",IF(AND(J6-I6&gt;=G6,I6-H6&gt;=G6),IF(F6&lt;&gt;"","Watch (declining)","Amber (declining)"),""),IF(AND(I6-J6&gt;=G6,H6-I6&gt;=G6),IF(F6&lt;&gt;"","Watch (declining)","Amber (declining)"),"")))</f>
        <v/>
      </c>
      <c r="N6" s="5" t="inlineStr">
        <is>
          <t>Hard constraint</t>
        </is>
      </c>
      <c r="O6" s="5" t="inlineStr">
        <is>
          <t>Customer-facing and High tier: any one is Red, no Amber band</t>
        </is>
      </c>
      <c r="P6" s="5" t="inlineStr">
        <is>
          <t>Live sample, complaints, and grader flags, daily</t>
        </is>
      </c>
    </row>
    <row r="7">
      <c r="A7" s="5" t="inlineStr">
        <is>
          <t>Override rate (%), leading signal</t>
        </is>
      </c>
      <c r="B7" s="5" t="inlineStr">
        <is>
          <t>Lower</t>
        </is>
      </c>
      <c r="C7" s="5" t="n">
        <v>12</v>
      </c>
      <c r="D7" s="5" t="n">
        <v>15</v>
      </c>
      <c r="E7" s="5" t="n"/>
      <c r="F7" s="5" t="n"/>
      <c r="G7" s="5" t="n">
        <v>1</v>
      </c>
      <c r="H7" s="5" t="n">
        <v>13</v>
      </c>
      <c r="I7" s="5" t="n">
        <v>12</v>
      </c>
      <c r="J7" s="5" t="n">
        <v>12</v>
      </c>
      <c r="K7" s="5" t="n"/>
      <c r="L7" s="4">
        <f>IF(H7="","",IF(AND(F7&lt;&gt;"",K7&lt;F7),"Amber (sample below minimum)",IF(F7&lt;&gt;"",IF(B7="Higher",IF(H7&gt;=D7,"Green",IF(OR(E7="",H7&gt;=E7),IF(AND(I7&lt;&gt;"",I7&lt;D7),"Amber","Watch (double next sample)"),IF(AND(I7&lt;&gt;"",I7&lt;E7),"Red","Amber (confirm with next sample)"))),IF(H7&lt;=D7,"Green",IF(OR(E7="",H7&lt;=E7),IF(AND(I7&lt;&gt;"",I7&gt;D7),"Amber","Watch (double next sample)"),IF(AND(I7&lt;&gt;"",I7&gt;E7),"Red","Amber (confirm with next sample)")))),IF(B7="Higher",IF(H7&gt;=D7,"Green",IF(OR(E7="",H7&gt;=E7),"Amber","Red")),IF(H7&lt;=D7,"Green",IF(OR(E7="",H7&lt;=E7),"Amber","Red"))))))</f>
        <v/>
      </c>
      <c r="M7" s="4">
        <f>IF(OR(H7="",I7="",J7="",G7=""),"",IF(B7="Higher",IF(AND(J7-I7&gt;=G7,I7-H7&gt;=G7),IF(F7&lt;&gt;"","Watch (declining)","Amber (declining)"),""),IF(AND(I7-J7&gt;=G7,H7-I7&gt;=G7),IF(F7&lt;&gt;"","Watch (declining)","Amber (declining)"),"")))</f>
        <v/>
      </c>
      <c r="N7" s="5" t="inlineStr">
        <is>
          <t>Leading signal</t>
        </is>
      </c>
      <c r="O7" s="5" t="inlineStr">
        <is>
          <t>Moves before accuracy does; sets Amber at most</t>
        </is>
      </c>
      <c r="P7" s="5" t="inlineStr">
        <is>
          <t>Gateway, weekly owner check</t>
        </is>
      </c>
    </row>
    <row r="8">
      <c r="A8" s="5" t="inlineStr">
        <is>
          <t>Retrieval miss rate (%), leading signal</t>
        </is>
      </c>
      <c r="B8" s="5" t="inlineStr">
        <is>
          <t>Lower</t>
        </is>
      </c>
      <c r="C8" s="5" t="n">
        <v>4</v>
      </c>
      <c r="D8" s="5" t="n">
        <v>6</v>
      </c>
      <c r="E8" s="5" t="n"/>
      <c r="F8" s="5" t="n"/>
      <c r="G8" s="5" t="n">
        <v>1</v>
      </c>
      <c r="H8" s="5" t="n">
        <v>4</v>
      </c>
      <c r="I8" s="5" t="n">
        <v>4</v>
      </c>
      <c r="J8" s="5" t="n">
        <v>4</v>
      </c>
      <c r="K8" s="5" t="n"/>
      <c r="L8" s="4">
        <f>IF(H8="","",IF(AND(F8&lt;&gt;"",K8&lt;F8),"Amber (sample below minimum)",IF(F8&lt;&gt;"",IF(B8="Higher",IF(H8&gt;=D8,"Green",IF(OR(E8="",H8&gt;=E8),IF(AND(I8&lt;&gt;"",I8&lt;D8),"Amber","Watch (double next sample)"),IF(AND(I8&lt;&gt;"",I8&lt;E8),"Red","Amber (confirm with next sample)"))),IF(H8&lt;=D8,"Green",IF(OR(E8="",H8&lt;=E8),IF(AND(I8&lt;&gt;"",I8&gt;D8),"Amber","Watch (double next sample)"),IF(AND(I8&lt;&gt;"",I8&gt;E8),"Red","Amber (confirm with next sample)")))),IF(B8="Higher",IF(H8&gt;=D8,"Green",IF(OR(E8="",H8&gt;=E8),"Amber","Red")),IF(H8&lt;=D8,"Green",IF(OR(E8="",H8&lt;=E8),"Amber","Red"))))))</f>
        <v/>
      </c>
      <c r="M8" s="4">
        <f>IF(OR(H8="",I8="",J8="",G8=""),"",IF(B8="Higher",IF(AND(J8-I8&gt;=G8,I8-H8&gt;=G8),IF(F8&lt;&gt;"","Watch (declining)","Amber (declining)"),""),IF(AND(I8-J8&gt;=G8,H8-I8&gt;=G8),IF(F8&lt;&gt;"","Watch (declining)","Amber (declining)"),"")))</f>
        <v/>
      </c>
      <c r="N8" s="5" t="inlineStr">
        <is>
          <t>Leading signal</t>
        </is>
      </c>
      <c r="O8" s="5" t="inlineStr">
        <is>
          <t>Moves before accuracy does; sets Amber at most</t>
        </is>
      </c>
      <c r="P8" s="5" t="inlineStr">
        <is>
          <t>Gateway, weekly owner check</t>
        </is>
      </c>
    </row>
    <row r="9">
      <c r="A9" s="5" t="inlineStr">
        <is>
          <t>Unit cost per conversation ($)</t>
        </is>
      </c>
      <c r="B9" s="5" t="inlineStr">
        <is>
          <t>Lower</t>
        </is>
      </c>
      <c r="C9" s="5" t="n">
        <v>0.18</v>
      </c>
      <c r="D9" s="5" t="n">
        <v>0.198</v>
      </c>
      <c r="E9" s="5" t="n">
        <v>0.225</v>
      </c>
      <c r="F9" s="5" t="n"/>
      <c r="G9" s="5" t="n">
        <v>0.005</v>
      </c>
      <c r="H9" s="5" t="n">
        <v>0.205</v>
      </c>
      <c r="I9" s="5" t="n">
        <v>0.19</v>
      </c>
      <c r="J9" s="5" t="n">
        <v>0.18</v>
      </c>
      <c r="K9" s="5" t="n"/>
      <c r="L9" s="4">
        <f>IF(H9="","",IF(AND(F9&lt;&gt;"",K9&lt;F9),"Amber (sample below minimum)",IF(F9&lt;&gt;"",IF(B9="Higher",IF(H9&gt;=D9,"Green",IF(OR(E9="",H9&gt;=E9),IF(AND(I9&lt;&gt;"",I9&lt;D9),"Amber","Watch (double next sample)"),IF(AND(I9&lt;&gt;"",I9&lt;E9),"Red","Amber (confirm with next sample)"))),IF(H9&lt;=D9,"Green",IF(OR(E9="",H9&lt;=E9),IF(AND(I9&lt;&gt;"",I9&gt;D9),"Amber","Watch (double next sample)"),IF(AND(I9&lt;&gt;"",I9&gt;E9),"Red","Amber (confirm with next sample)")))),IF(B9="Higher",IF(H9&gt;=D9,"Green",IF(OR(E9="",H9&gt;=E9),"Amber","Red")),IF(H9&lt;=D9,"Green",IF(OR(E9="",H9&lt;=E9),"Amber","Red"))))))</f>
        <v/>
      </c>
      <c r="M9" s="4">
        <f>IF(OR(H9="",I9="",J9="",G9=""),"",IF(B9="Higher",IF(AND(J9-I9&gt;=G9,I9-H9&gt;=G9),IF(F9&lt;&gt;"","Watch (declining)","Amber (declining)"),""),IF(AND(I9-J9&gt;=G9,H9-I9&gt;=G9),IF(F9&lt;&gt;"","Watch (declining)","Amber (declining)"),"")))</f>
        <v/>
      </c>
      <c r="N9" s="5" t="inlineStr">
        <is>
          <t>Performance limit</t>
        </is>
      </c>
      <c r="O9" s="5" t="inlineStr">
        <is>
          <t>Default limits: 10% and 25% above the $0.18 plan, not rounded</t>
        </is>
      </c>
      <c r="P9" s="5" t="inlineStr">
        <is>
          <t>Cost metering, reconciled with the ledger monthly</t>
        </is>
      </c>
    </row>
    <row r="10">
      <c r="A10" s="5" t="inlineStr">
        <is>
          <t>Response time, 95% of answers within (s)</t>
        </is>
      </c>
      <c r="B10" s="5" t="inlineStr">
        <is>
          <t>Lower</t>
        </is>
      </c>
      <c r="C10" s="5" t="n">
        <v>3.1</v>
      </c>
      <c r="D10" s="5" t="n">
        <v>4</v>
      </c>
      <c r="E10" s="5" t="n">
        <v>6</v>
      </c>
      <c r="F10" s="5" t="n"/>
      <c r="G10" s="5" t="n">
        <v>0.2</v>
      </c>
      <c r="H10" s="5" t="n">
        <v>3.3</v>
      </c>
      <c r="I10" s="5" t="n">
        <v>3.2</v>
      </c>
      <c r="J10" s="5" t="n">
        <v>3.1</v>
      </c>
      <c r="K10" s="5" t="n"/>
      <c r="L10" s="4">
        <f>IF(H10="","",IF(AND(F10&lt;&gt;"",K10&lt;F10),"Amber (sample below minimum)",IF(F10&lt;&gt;"",IF(B10="Higher",IF(H10&gt;=D10,"Green",IF(OR(E10="",H10&gt;=E10),IF(AND(I10&lt;&gt;"",I10&lt;D10),"Amber","Watch (double next sample)"),IF(AND(I10&lt;&gt;"",I10&lt;E10),"Red","Amber (confirm with next sample)"))),IF(H10&lt;=D10,"Green",IF(OR(E10="",H10&lt;=E10),IF(AND(I10&lt;&gt;"",I10&gt;D10),"Amber","Watch (double next sample)"),IF(AND(I10&lt;&gt;"",I10&gt;E10),"Red","Amber (confirm with next sample)")))),IF(B10="Higher",IF(H10&gt;=D10,"Green",IF(OR(E10="",H10&gt;=E10),"Amber","Red")),IF(H10&lt;=D10,"Green",IF(OR(E10="",H10&lt;=E10),"Amber","Red"))))))</f>
        <v/>
      </c>
      <c r="M10" s="4">
        <f>IF(OR(H10="",I10="",J10="",G10=""),"",IF(B10="Higher",IF(AND(J10-I10&gt;=G10,I10-H10&gt;=G10),IF(F10&lt;&gt;"","Watch (declining)","Amber (declining)"),""),IF(AND(I10-J10&gt;=G10,H10-I10&gt;=G10),IF(F10&lt;&gt;"","Watch (declining)","Amber (declining)"),"")))</f>
        <v/>
      </c>
      <c r="N10" s="5" t="inlineStr">
        <is>
          <t>Performance limit</t>
        </is>
      </c>
      <c r="O10" s="5" t="inlineStr">
        <is>
          <t>Set from the 3.1-second baseline</t>
        </is>
      </c>
      <c r="P10" s="5" t="inlineStr">
        <is>
          <t>Gateway, daily</t>
        </is>
      </c>
    </row>
    <row r="11">
      <c r="A11" s="5" t="n"/>
      <c r="B11" s="5" t="n"/>
      <c r="C11" s="5" t="n"/>
      <c r="D11" s="5" t="n"/>
      <c r="E11" s="5" t="n"/>
      <c r="F11" s="5" t="n"/>
      <c r="G11" s="5" t="n"/>
      <c r="H11" s="5" t="n"/>
      <c r="I11" s="5" t="n"/>
      <c r="J11" s="5" t="n"/>
      <c r="K11" s="5" t="n"/>
      <c r="L11" s="4">
        <f>IF(H11="","",IF(AND(F11&lt;&gt;"",K11&lt;F11),"Amber (sample below minimum)",IF(F11&lt;&gt;"",IF(B11="Higher",IF(H11&gt;=D11,"Green",IF(OR(E11="",H11&gt;=E11),IF(AND(I11&lt;&gt;"",I11&lt;D11),"Amber","Watch (double next sample)"),IF(AND(I11&lt;&gt;"",I11&lt;E11),"Red","Amber (confirm with next sample)"))),IF(H11&lt;=D11,"Green",IF(OR(E11="",H11&lt;=E11),IF(AND(I11&lt;&gt;"",I11&gt;D11),"Amber","Watch (double next sample)"),IF(AND(I11&lt;&gt;"",I11&gt;E11),"Red","Amber (confirm with next sample)")))),IF(B11="Higher",IF(H11&gt;=D11,"Green",IF(OR(E11="",H11&gt;=E11),"Amber","Red")),IF(H11&lt;=D11,"Green",IF(OR(E11="",H11&lt;=E11),"Amber","Red"))))))</f>
        <v/>
      </c>
      <c r="M11" s="4">
        <f>IF(OR(H11="",I11="",J11="",G11=""),"",IF(B11="Higher",IF(AND(J11-I11&gt;=G11,I11-H11&gt;=G11),IF(F11&lt;&gt;"","Watch (declining)","Amber (declining)"),""),IF(AND(I11-J11&gt;=G11,H11-I11&gt;=G11),IF(F11&lt;&gt;"","Watch (declining)","Amber (declining)"),"")))</f>
        <v/>
      </c>
      <c r="N11" s="5" t="n"/>
      <c r="O11" s="5" t="n"/>
      <c r="P11" s="5" t="n"/>
    </row>
    <row r="12">
      <c r="A12" s="5" t="n"/>
      <c r="B12" s="5" t="n"/>
      <c r="C12" s="5" t="n"/>
      <c r="D12" s="5" t="n"/>
      <c r="E12" s="5" t="n"/>
      <c r="F12" s="5" t="n"/>
      <c r="G12" s="5" t="n"/>
      <c r="H12" s="5" t="n"/>
      <c r="I12" s="5" t="n"/>
      <c r="J12" s="5" t="n"/>
      <c r="K12" s="5" t="n"/>
      <c r="L12" s="4">
        <f>IF(H12="","",IF(AND(F12&lt;&gt;"",K12&lt;F12),"Amber (sample below minimum)",IF(F12&lt;&gt;"",IF(B12="Higher",IF(H12&gt;=D12,"Green",IF(OR(E12="",H12&gt;=E12),IF(AND(I12&lt;&gt;"",I12&lt;D12),"Amber","Watch (double next sample)"),IF(AND(I12&lt;&gt;"",I12&lt;E12),"Red","Amber (confirm with next sample)"))),IF(H12&lt;=D12,"Green",IF(OR(E12="",H12&lt;=E12),IF(AND(I12&lt;&gt;"",I12&gt;D12),"Amber","Watch (double next sample)"),IF(AND(I12&lt;&gt;"",I12&gt;E12),"Red","Amber (confirm with next sample)")))),IF(B12="Higher",IF(H12&gt;=D12,"Green",IF(OR(E12="",H12&gt;=E12),"Amber","Red")),IF(H12&lt;=D12,"Green",IF(OR(E12="",H12&lt;=E12),"Amber","Red"))))))</f>
        <v/>
      </c>
      <c r="M12" s="4">
        <f>IF(OR(H12="",I12="",J12="",G12=""),"",IF(B12="Higher",IF(AND(J12-I12&gt;=G12,I12-H12&gt;=G12),IF(F12&lt;&gt;"","Watch (declining)","Amber (declining)"),""),IF(AND(I12-J12&gt;=G12,H12-I12&gt;=G12),IF(F12&lt;&gt;"","Watch (declining)","Amber (declining)"),"")))</f>
        <v/>
      </c>
      <c r="N12" s="5" t="n"/>
      <c r="O12" s="5" t="n"/>
      <c r="P12" s="5" t="n"/>
    </row>
    <row r="13">
      <c r="A13" s="5" t="n"/>
      <c r="B13" s="5" t="n"/>
      <c r="C13" s="5" t="n"/>
      <c r="D13" s="5" t="n"/>
      <c r="E13" s="5" t="n"/>
      <c r="F13" s="5" t="n"/>
      <c r="G13" s="5" t="n"/>
      <c r="H13" s="5" t="n"/>
      <c r="I13" s="5" t="n"/>
      <c r="J13" s="5" t="n"/>
      <c r="K13" s="5" t="n"/>
      <c r="L13" s="4">
        <f>IF(H13="","",IF(AND(F13&lt;&gt;"",K13&lt;F13),"Amber (sample below minimum)",IF(F13&lt;&gt;"",IF(B13="Higher",IF(H13&gt;=D13,"Green",IF(OR(E13="",H13&gt;=E13),IF(AND(I13&lt;&gt;"",I13&lt;D13),"Amber","Watch (double next sample)"),IF(AND(I13&lt;&gt;"",I13&lt;E13),"Red","Amber (confirm with next sample)"))),IF(H13&lt;=D13,"Green",IF(OR(E13="",H13&lt;=E13),IF(AND(I13&lt;&gt;"",I13&gt;D13),"Amber","Watch (double next sample)"),IF(AND(I13&lt;&gt;"",I13&gt;E13),"Red","Amber (confirm with next sample)")))),IF(B13="Higher",IF(H13&gt;=D13,"Green",IF(OR(E13="",H13&gt;=E13),"Amber","Red")),IF(H13&lt;=D13,"Green",IF(OR(E13="",H13&lt;=E13),"Amber","Red"))))))</f>
        <v/>
      </c>
      <c r="M13" s="4">
        <f>IF(OR(H13="",I13="",J13="",G13=""),"",IF(B13="Higher",IF(AND(J13-I13&gt;=G13,I13-H13&gt;=G13),IF(F13&lt;&gt;"","Watch (declining)","Amber (declining)"),""),IF(AND(I13-J13&gt;=G13,H13-I13&gt;=G13),IF(F13&lt;&gt;"","Watch (declining)","Amber (declining)"),"")))</f>
        <v/>
      </c>
      <c r="N13" s="5" t="n"/>
      <c r="O13" s="5" t="n"/>
      <c r="P13" s="5" t="n"/>
    </row>
    <row r="14">
      <c r="A14" s="5" t="n"/>
      <c r="B14" s="5" t="n"/>
      <c r="C14" s="5" t="n"/>
      <c r="D14" s="5" t="n"/>
      <c r="E14" s="5" t="n"/>
      <c r="F14" s="5" t="n"/>
      <c r="G14" s="5" t="n"/>
      <c r="H14" s="5" t="n"/>
      <c r="I14" s="5" t="n"/>
      <c r="J14" s="5" t="n"/>
      <c r="K14" s="5" t="n"/>
      <c r="L14" s="4">
        <f>IF(H14="","",IF(AND(F14&lt;&gt;"",K14&lt;F14),"Amber (sample below minimum)",IF(F14&lt;&gt;"",IF(B14="Higher",IF(H14&gt;=D14,"Green",IF(OR(E14="",H14&gt;=E14),IF(AND(I14&lt;&gt;"",I14&lt;D14),"Amber","Watch (double next sample)"),IF(AND(I14&lt;&gt;"",I14&lt;E14),"Red","Amber (confirm with next sample)"))),IF(H14&lt;=D14,"Green",IF(OR(E14="",H14&lt;=E14),IF(AND(I14&lt;&gt;"",I14&gt;D14),"Amber","Watch (double next sample)"),IF(AND(I14&lt;&gt;"",I14&gt;E14),"Red","Amber (confirm with next sample)")))),IF(B14="Higher",IF(H14&gt;=D14,"Green",IF(OR(E14="",H14&gt;=E14),"Amber","Red")),IF(H14&lt;=D14,"Green",IF(OR(E14="",H14&lt;=E14),"Amber","Red"))))))</f>
        <v/>
      </c>
      <c r="M14" s="4">
        <f>IF(OR(H14="",I14="",J14="",G14=""),"",IF(B14="Higher",IF(AND(J14-I14&gt;=G14,I14-H14&gt;=G14),IF(F14&lt;&gt;"","Watch (declining)","Amber (declining)"),""),IF(AND(I14-J14&gt;=G14,H14-I14&gt;=G14),IF(F14&lt;&gt;"","Watch (declining)","Amber (declining)"),"")))</f>
        <v/>
      </c>
      <c r="N14" s="5" t="n"/>
      <c r="O14" s="5" t="n"/>
      <c r="P14" s="5" t="n"/>
    </row>
    <row r="15">
      <c r="A15" s="5" t="n"/>
      <c r="B15" s="5" t="n"/>
      <c r="C15" s="5" t="n"/>
      <c r="D15" s="5" t="n"/>
      <c r="E15" s="5" t="n"/>
      <c r="F15" s="5" t="n"/>
      <c r="G15" s="5" t="n"/>
      <c r="H15" s="5" t="n"/>
      <c r="I15" s="5" t="n"/>
      <c r="J15" s="5" t="n"/>
      <c r="K15" s="5" t="n"/>
      <c r="L15" s="4">
        <f>IF(H15="","",IF(AND(F15&lt;&gt;"",K15&lt;F15),"Amber (sample below minimum)",IF(F15&lt;&gt;"",IF(B15="Higher",IF(H15&gt;=D15,"Green",IF(OR(E15="",H15&gt;=E15),IF(AND(I15&lt;&gt;"",I15&lt;D15),"Amber","Watch (double next sample)"),IF(AND(I15&lt;&gt;"",I15&lt;E15),"Red","Amber (confirm with next sample)"))),IF(H15&lt;=D15,"Green",IF(OR(E15="",H15&lt;=E15),IF(AND(I15&lt;&gt;"",I15&gt;D15),"Amber","Watch (double next sample)"),IF(AND(I15&lt;&gt;"",I15&gt;E15),"Red","Amber (confirm with next sample)")))),IF(B15="Higher",IF(H15&gt;=D15,"Green",IF(OR(E15="",H15&gt;=E15),"Amber","Red")),IF(H15&lt;=D15,"Green",IF(OR(E15="",H15&lt;=E15),"Amber","Red"))))))</f>
        <v/>
      </c>
      <c r="M15" s="4">
        <f>IF(OR(H15="",I15="",J15="",G15=""),"",IF(B15="Higher",IF(AND(J15-I15&gt;=G15,I15-H15&gt;=G15),IF(F15&lt;&gt;"","Watch (declining)","Amber (declining)"),""),IF(AND(I15-J15&gt;=G15,H15-I15&gt;=G15),IF(F15&lt;&gt;"","Watch (declining)","Amber (declining)"),"")))</f>
        <v/>
      </c>
      <c r="N15" s="5" t="n"/>
      <c r="O15" s="5" t="n"/>
      <c r="P15" s="5" t="n"/>
    </row>
    <row r="16">
      <c r="A16" s="5" t="n"/>
      <c r="B16" s="5" t="n"/>
      <c r="C16" s="5" t="n"/>
      <c r="D16" s="5" t="n"/>
      <c r="E16" s="5" t="n"/>
      <c r="F16" s="5" t="n"/>
      <c r="G16" s="5" t="n"/>
      <c r="H16" s="5" t="n"/>
      <c r="I16" s="5" t="n"/>
      <c r="J16" s="5" t="n"/>
      <c r="K16" s="5" t="n"/>
      <c r="L16" s="4">
        <f>IF(H16="","",IF(AND(F16&lt;&gt;"",K16&lt;F16),"Amber (sample below minimum)",IF(F16&lt;&gt;"",IF(B16="Higher",IF(H16&gt;=D16,"Green",IF(OR(E16="",H16&gt;=E16),IF(AND(I16&lt;&gt;"",I16&lt;D16),"Amber","Watch (double next sample)"),IF(AND(I16&lt;&gt;"",I16&lt;E16),"Red","Amber (confirm with next sample)"))),IF(H16&lt;=D16,"Green",IF(OR(E16="",H16&lt;=E16),IF(AND(I16&lt;&gt;"",I16&gt;D16),"Amber","Watch (double next sample)"),IF(AND(I16&lt;&gt;"",I16&gt;E16),"Red","Amber (confirm with next sample)")))),IF(B16="Higher",IF(H16&gt;=D16,"Green",IF(OR(E16="",H16&gt;=E16),"Amber","Red")),IF(H16&lt;=D16,"Green",IF(OR(E16="",H16&lt;=E16),"Amber","Red"))))))</f>
        <v/>
      </c>
      <c r="M16" s="4">
        <f>IF(OR(H16="",I16="",J16="",G16=""),"",IF(B16="Higher",IF(AND(J16-I16&gt;=G16,I16-H16&gt;=G16),IF(F16&lt;&gt;"","Watch (declining)","Amber (declining)"),""),IF(AND(I16-J16&gt;=G16,H16-I16&gt;=G16),IF(F16&lt;&gt;"","Watch (declining)","Amber (declining)"),"")))</f>
        <v/>
      </c>
      <c r="N16" s="5" t="n"/>
      <c r="O16" s="5" t="n"/>
      <c r="P16" s="5" t="n"/>
    </row>
    <row r="18">
      <c r="A18" s="4" t="inlineStr">
        <is>
          <t>Overall status (lowest on the sheet)</t>
        </is>
      </c>
      <c r="L18" s="4">
        <f>IF(COUNTIF(L5:L16,"Red*")&gt;0,"Red",IF(OR(COUNTIF(L5:L16,"Amber*")&gt;0,COUNTIF(M5:M16,"Amber*")&gt;0),"Amber",IF(COUNTIF(L5:L16,"Green")&gt;0,"Green","")))</f>
        <v/>
      </c>
    </row>
    <row r="19">
      <c r="A19" s="7" t="inlineStr">
        <is>
          <t>A missing reading counts as missing data: report it as Amber. A critical event is Red the same day.</t>
        </is>
      </c>
    </row>
    <row r="20">
      <c r="A20" s="7" t="inlineStr">
        <is>
          <t>Sampled measures: a single reading below Green sets a watch and the next sample is doubled; a second low reading confirms Amber. A reading whose whole range sits below the Red limit is Red at once.</t>
        </is>
      </c>
    </row>
    <row r="21">
      <c r="A21" s="7" t="inlineStr">
        <is>
          <t>Trend: a third consecutive decline is Red, whether or not a recovery plan exists. Add earlier periods to the sheet to track it.</t>
        </is>
      </c>
    </row>
  </sheetData>
  <dataValidations count="2">
    <dataValidation sqref="B5:B16" showDropDown="0" showInputMessage="0" showErrorMessage="0" allowBlank="1" type="list">
      <formula1>"Higher,Lower"</formula1>
    </dataValidation>
    <dataValidation sqref="N5:N16" showDropDown="0" showInputMessage="0" showErrorMessage="0" allowBlank="1" type="list">
      <formula1>"Hard constraint,Performance limit,Leading signal"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4" customWidth="1" min="1" max="1"/>
    <col width="40" customWidth="1" min="2" max="2"/>
    <col width="14" customWidth="1" min="3" max="3"/>
    <col width="14" customWidth="1" min="4" max="4"/>
    <col width="14" customWidth="1" min="5" max="5"/>
    <col width="40" customWidth="1" min="6" max="6"/>
  </cols>
  <sheetData>
    <row r="1">
      <c r="A1" s="1" t="inlineStr">
        <is>
          <t>Five-test scorecard (Chapter 7)</t>
        </is>
      </c>
    </row>
    <row r="2">
      <c r="A2" s="2" t="inlineStr">
        <is>
          <t>Overall status is the weakest test. Use a dash for tests not scored at this stage.</t>
        </is>
      </c>
    </row>
    <row r="4" ht="30" customHeight="1">
      <c r="A4" s="3" t="inlineStr">
        <is>
          <t>Item</t>
        </is>
      </c>
      <c r="B4" s="3" t="inlineStr">
        <is>
          <t>Entry</t>
        </is>
      </c>
    </row>
    <row r="5">
      <c r="A5" s="4" t="inlineStr">
        <is>
          <t>Investment, inventory number, and stage</t>
        </is>
      </c>
      <c r="B5" s="5" t="inlineStr">
        <is>
          <t>Small-business lending agent (FYT-052), Pilot</t>
        </is>
      </c>
    </row>
    <row r="6">
      <c r="A6" s="4" t="inlineStr">
        <is>
          <t>Business owner</t>
        </is>
      </c>
      <c r="B6" s="5" t="inlineStr">
        <is>
          <t>Head of business banking</t>
        </is>
      </c>
    </row>
    <row r="7">
      <c r="A7" s="4" t="inlineStr">
        <is>
          <t>Reporting period</t>
        </is>
      </c>
      <c r="B7" s="5" t="inlineStr">
        <is>
          <t>Month 2</t>
        </is>
      </c>
    </row>
    <row r="9" ht="30" customHeight="1">
      <c r="A9" s="3" t="inlineStr">
        <is>
          <t>Test</t>
        </is>
      </c>
      <c r="B9" s="3" t="inlineStr">
        <is>
          <t>Headline measure and limit</t>
        </is>
      </c>
      <c r="C9" s="3" t="inlineStr">
        <is>
          <t>This period</t>
        </is>
      </c>
      <c r="D9" s="3" t="inlineStr">
        <is>
          <t>Last period</t>
        </is>
      </c>
      <c r="E9" s="3" t="inlineStr">
        <is>
          <t>Status</t>
        </is>
      </c>
      <c r="F9" s="3" t="inlineStr">
        <is>
          <t>Cause (if Amber or Red)</t>
        </is>
      </c>
    </row>
    <row r="10">
      <c r="A10" s="4" t="inlineStr">
        <is>
          <t>Value</t>
        </is>
      </c>
      <c r="B10" s="4" t="inlineStr">
        <is>
          <t>Rep time saved vs control; target 6 h/week</t>
        </is>
      </c>
      <c r="C10" s="5" t="inlineStr">
        <is>
          <t>5.5 h</t>
        </is>
      </c>
      <c r="D10" s="5" t="inlineStr">
        <is>
          <t>5.2 h</t>
        </is>
      </c>
      <c r="E10" s="5" t="inlineStr">
        <is>
          <t>Green</t>
        </is>
      </c>
      <c r="F10" s="5" t="inlineStr"/>
    </row>
    <row r="11">
      <c r="A11" s="4" t="inlineStr">
        <is>
          <t>Adoption</t>
        </is>
      </c>
      <c r="B11" s="4" t="inlineStr">
        <is>
          <t>Share of eligible follow-ups; target 80%</t>
        </is>
      </c>
      <c r="C11" s="5" t="inlineStr">
        <is>
          <t>88%</t>
        </is>
      </c>
      <c r="D11" s="5" t="inlineStr">
        <is>
          <t>84%</t>
        </is>
      </c>
      <c r="E11" s="5" t="inlineStr">
        <is>
          <t>Green</t>
        </is>
      </c>
      <c r="F11" s="5" t="inlineStr"/>
    </row>
    <row r="12">
      <c r="A12" s="4" t="inlineStr">
        <is>
          <t>Trust</t>
        </is>
      </c>
      <c r="B12" s="4" t="inlineStr">
        <is>
          <t>Live accuracy 92%; zero critical</t>
        </is>
      </c>
      <c r="C12" s="5" t="inlineStr">
        <is>
          <t>94%; 23 critical, one cause</t>
        </is>
      </c>
      <c r="D12" s="5" t="inlineStr">
        <is>
          <t>93%; 0</t>
        </is>
      </c>
      <c r="E12" s="5" t="inlineStr">
        <is>
          <t>Red</t>
        </is>
      </c>
      <c r="F12" s="5" t="inlineStr">
        <is>
          <t>Outdated rate quotes sent to 23 businesses</t>
        </is>
      </c>
    </row>
    <row r="13">
      <c r="A13" s="4" t="inlineStr">
        <is>
          <t>Economics</t>
        </is>
      </c>
      <c r="B13" s="4" t="inlineStr">
        <is>
          <t>Cost per email vs $0.10 plan</t>
        </is>
      </c>
      <c r="C13" s="5" t="inlineStr">
        <is>
          <t>$0.09</t>
        </is>
      </c>
      <c r="D13" s="5" t="inlineStr">
        <is>
          <t>$0.09</t>
        </is>
      </c>
      <c r="E13" s="5" t="inlineStr">
        <is>
          <t>Green</t>
        </is>
      </c>
      <c r="F13" s="5" t="inlineStr"/>
    </row>
    <row r="14">
      <c r="A14" s="4" t="inlineStr">
        <is>
          <t>Delivery</t>
        </is>
      </c>
      <c r="B14" s="4" t="inlineStr">
        <is>
          <t>Milestone slip 2 weeks or less</t>
        </is>
      </c>
      <c r="C14" s="5" t="inlineStr">
        <is>
          <t>On schedule</t>
        </is>
      </c>
      <c r="D14" s="5" t="inlineStr">
        <is>
          <t>On schedule</t>
        </is>
      </c>
      <c r="E14" s="5" t="inlineStr">
        <is>
          <t>Green</t>
        </is>
      </c>
      <c r="F14" s="5" t="inlineStr"/>
    </row>
    <row r="15">
      <c r="A15" s="4" t="inlineStr">
        <is>
          <t>Overall</t>
        </is>
      </c>
      <c r="B15" s="4" t="inlineStr">
        <is>
          <t>Weakest test</t>
        </is>
      </c>
      <c r="E15" s="4">
        <f>IF(COUNTIF(E10:E14,"Red")&gt;0,"Red",IF(COUNTIF(E10:E14,"Amber")&gt;0,"Amber",IF(COUNTIF(E10:E14,"Green")&gt;0,"Green","")))</f>
        <v/>
      </c>
    </row>
  </sheetData>
  <dataValidations count="1">
    <dataValidation sqref="E10:E14" showDropDown="0" showInputMessage="0" showErrorMessage="0" allowBlank="1" type="list">
      <formula1>"Green,Amber,Red,-"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36" customWidth="1" min="1" max="1"/>
    <col width="16" customWidth="1" min="2" max="2"/>
    <col width="40" customWidth="1" min="3" max="3"/>
    <col width="22" customWidth="1" min="4" max="4"/>
  </cols>
  <sheetData>
    <row r="1">
      <c r="A1" s="1" t="inlineStr">
        <is>
          <t>Value measurement and leakage (Chapter 9)</t>
        </is>
      </c>
    </row>
    <row r="2">
      <c r="A2" s="2" t="inlineStr">
        <is>
          <t>Annual figures in dollars. Leaks are entered as positive amounts.</t>
        </is>
      </c>
    </row>
    <row r="4" ht="30" customHeight="1">
      <c r="A4" s="3" t="inlineStr">
        <is>
          <t>Line</t>
        </is>
      </c>
      <c r="B4" s="3" t="inlineStr">
        <is>
          <t>Annual value ($)</t>
        </is>
      </c>
      <c r="C4" s="3" t="inlineStr">
        <is>
          <t>Cause</t>
        </is>
      </c>
      <c r="D4" s="3" t="inlineStr">
        <is>
          <t>Owner</t>
        </is>
      </c>
    </row>
    <row r="5">
      <c r="A5" s="5" t="inlineStr">
        <is>
          <t>Business case (net benefit)</t>
        </is>
      </c>
      <c r="B5" s="6" t="n">
        <v>10000000</v>
      </c>
      <c r="C5" s="5" t="inlineStr">
        <is>
          <t>Net of planned running cost</t>
        </is>
      </c>
      <c r="D5" s="5" t="inlineStr">
        <is>
          <t>Business owner</t>
        </is>
      </c>
    </row>
    <row r="6">
      <c r="A6" s="5" t="inlineStr">
        <is>
          <t>Adoption gap</t>
        </is>
      </c>
      <c r="B6" s="6" t="n">
        <v>2400000</v>
      </c>
      <c r="C6" s="5" t="inlineStr">
        <is>
          <t>Two lines of business not connected; handwritten forms routed around</t>
        </is>
      </c>
      <c r="D6" s="5" t="inlineStr">
        <is>
          <t>Business owner</t>
        </is>
      </c>
    </row>
    <row r="7">
      <c r="A7" s="5" t="inlineStr">
        <is>
          <t>Process not redesigned</t>
        </is>
      </c>
      <c r="B7" s="6" t="n">
        <v>1500000</v>
      </c>
      <c r="C7" s="5" t="inlineStr">
        <is>
          <t>Full field check kept</t>
        </is>
      </c>
      <c r="D7" s="5" t="inlineStr">
        <is>
          <t>Operations</t>
        </is>
      </c>
    </row>
    <row r="8">
      <c r="A8" s="5" t="inlineStr">
        <is>
          <t>Quality rework</t>
        </is>
      </c>
      <c r="B8" s="6" t="n">
        <v>900000</v>
      </c>
      <c r="C8" s="5" t="inlineStr">
        <is>
          <t>Handwritten form extraction errors</t>
        </is>
      </c>
      <c r="D8" s="5" t="inlineStr">
        <is>
          <t>Delivery team</t>
        </is>
      </c>
    </row>
    <row r="9">
      <c r="A9" s="5" t="inlineStr">
        <is>
          <t>Cost overrun</t>
        </is>
      </c>
      <c r="B9" s="6" t="n">
        <v>700000</v>
      </c>
      <c r="C9" s="5" t="inlineStr">
        <is>
          <t>Largest model used for every document</t>
        </is>
      </c>
      <c r="D9" s="5" t="inlineStr">
        <is>
          <t>Delivery team</t>
        </is>
      </c>
    </row>
    <row r="10">
      <c r="A10" s="4" t="inlineStr">
        <is>
          <t>Measured net benefit</t>
        </is>
      </c>
      <c r="B10" s="8">
        <f>B5-SUM(B6:B9)</f>
        <v/>
      </c>
    </row>
    <row r="11">
      <c r="A11" s="4" t="inlineStr">
        <is>
          <t>Measured as share of business case</t>
        </is>
      </c>
      <c r="B11" s="9">
        <f>IF(B5=0,"",B10/B5)</f>
        <v/>
      </c>
    </row>
    <row r="12">
      <c r="A12" s="4" t="inlineStr">
        <is>
          <t>Full running cost (planned plus overrun)</t>
        </is>
      </c>
      <c r="B12" s="6" t="n">
        <v>1700000</v>
      </c>
    </row>
    <row r="13" ht="30" customHeight="1">
      <c r="A13" s="3" t="inlineStr">
        <is>
          <t>Classification of gross benefit</t>
        </is>
      </c>
      <c r="B13" s="3" t="inlineStr">
        <is>
          <t>Annual value ($)</t>
        </is>
      </c>
      <c r="C13" s="3" t="inlineStr">
        <is>
          <t>Evidence</t>
        </is>
      </c>
      <c r="D13" s="3" t="inlineStr"/>
    </row>
    <row r="14">
      <c r="A14" s="5" t="inlineStr">
        <is>
          <t>Harvested</t>
        </is>
      </c>
      <c r="B14" s="6" t="n">
        <v>2400000</v>
      </c>
      <c r="C14" s="5" t="inlineStr">
        <is>
          <t>20 vacant positions not refilled</t>
        </is>
      </c>
    </row>
    <row r="15">
      <c r="A15" s="5" t="inlineStr">
        <is>
          <t>Redeployed</t>
        </is>
      </c>
      <c r="B15" s="6" t="n">
        <v>1200000</v>
      </c>
      <c r="C15" s="5" t="inlineStr">
        <is>
          <t>Loan-processing backlog reduced by a measured amount</t>
        </is>
      </c>
    </row>
    <row r="16">
      <c r="A16" s="5" t="inlineStr">
        <is>
          <t>Unharvested</t>
        </is>
      </c>
      <c r="B16" s="6" t="n">
        <v>2600000</v>
      </c>
      <c r="C16" s="5" t="inlineStr">
        <is>
          <t>Capacity created, not yet used for named work</t>
        </is>
      </c>
    </row>
    <row r="17">
      <c r="A17" s="4" t="inlineStr">
        <is>
          <t>Realized gross (harvested plus redeployed, Finance-confirmed)</t>
        </is>
      </c>
      <c r="B17" s="8">
        <f>B14+B15</f>
        <v/>
      </c>
    </row>
    <row r="18">
      <c r="A18" s="4" t="inlineStr">
        <is>
          <t>Realized net (gross less full running cost)</t>
        </is>
      </c>
      <c r="B18" s="8">
        <f>B17-B12</f>
        <v/>
      </c>
    </row>
    <row r="19">
      <c r="A19" s="4" t="inlineStr">
        <is>
          <t>Realized net as share of business case</t>
        </is>
      </c>
      <c r="B19" s="9">
        <f>IF(B5=0,"",B18/B5)</f>
        <v/>
      </c>
    </row>
    <row r="20">
      <c r="A20" s="4" t="inlineStr">
        <is>
          <t>Value test on realized net (default limits)</t>
        </is>
      </c>
      <c r="B20" s="4">
        <f>IF(B19="","",IF(B19&gt;=0.9,"Green",IF(B19&gt;=0.7,"Amber","Red")))</f>
        <v/>
      </c>
    </row>
    <row r="21">
      <c r="A21" s="4" t="inlineStr">
        <is>
          <t>Check: classes add up to gross benefit</t>
        </is>
      </c>
      <c r="B21" s="4">
        <f>IF(ABS(SUM(B14:B16)-(B10+B12))&lt;1,"OK","Does not add up")</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6" customWidth="1" min="1" max="1"/>
    <col width="16" customWidth="1" min="2" max="2"/>
    <col width="16" customWidth="1" min="3" max="3"/>
    <col width="14" customWidth="1" min="4" max="4"/>
  </cols>
  <sheetData>
    <row r="1">
      <c r="A1" s="1" t="inlineStr">
        <is>
          <t>Monthly cost report (Chapter 10)</t>
        </is>
      </c>
    </row>
    <row r="2">
      <c r="A2" s="2" t="inlineStr">
        <is>
          <t>One use case per copy of this sheet. Dollars per month.</t>
        </is>
      </c>
    </row>
    <row r="4" ht="30" customHeight="1">
      <c r="A4" s="3" t="inlineStr">
        <is>
          <t>Item</t>
        </is>
      </c>
      <c r="B4" s="3" t="inlineStr">
        <is>
          <t>Plan</t>
        </is>
      </c>
      <c r="C4" s="3" t="inlineStr">
        <is>
          <t>Actual</t>
        </is>
      </c>
      <c r="D4" s="3" t="inlineStr">
        <is>
          <t>Variance</t>
        </is>
      </c>
    </row>
    <row r="5">
      <c r="A5" s="4" t="inlineStr">
        <is>
          <t>Completed transactions</t>
        </is>
      </c>
      <c r="B5" s="10" t="n">
        <v>150000</v>
      </c>
      <c r="C5" s="10" t="n">
        <v>200000</v>
      </c>
      <c r="D5" s="9">
        <f>IF(B5=0,"",C5/B5-1)</f>
        <v/>
      </c>
    </row>
    <row r="6">
      <c r="A6" s="4" t="inlineStr">
        <is>
          <t>Model usage ($)</t>
        </is>
      </c>
      <c r="B6" s="6" t="n">
        <v>10500</v>
      </c>
      <c r="C6" s="6" t="n">
        <v>19000</v>
      </c>
      <c r="D6" s="9">
        <f>IF(B6=0,"",C6/B6-1)</f>
        <v/>
      </c>
    </row>
    <row r="7">
      <c r="A7" s="4" t="inlineStr">
        <is>
          <t>Share of platform cost ($)</t>
        </is>
      </c>
      <c r="B7" s="6" t="n">
        <v>7500</v>
      </c>
      <c r="C7" s="6" t="n">
        <v>10000</v>
      </c>
      <c r="D7" s="9">
        <f>IF(B7=0,"",C7/B7-1)</f>
        <v/>
      </c>
    </row>
    <row r="8">
      <c r="A8" s="4" t="inlineStr">
        <is>
          <t>Licenses ($)</t>
        </is>
      </c>
      <c r="B8" s="6" t="n">
        <v>3000</v>
      </c>
      <c r="C8" s="6" t="n">
        <v>4000</v>
      </c>
      <c r="D8" s="9">
        <f>IF(B8=0,"",C8/B8-1)</f>
        <v/>
      </c>
    </row>
    <row r="9">
      <c r="A9" s="4" t="inlineStr">
        <is>
          <t>Support effort ($)</t>
        </is>
      </c>
      <c r="B9" s="6" t="n">
        <v>6000</v>
      </c>
      <c r="C9" s="6" t="n">
        <v>8000</v>
      </c>
      <c r="D9" s="9">
        <f>IF(B9=0,"",C9/B9-1)</f>
        <v/>
      </c>
    </row>
    <row r="10">
      <c r="A10" s="4" t="inlineStr">
        <is>
          <t>Total cost ($)</t>
        </is>
      </c>
      <c r="B10" s="8">
        <f>SUM(B6:B9)</f>
        <v/>
      </c>
      <c r="C10" s="8">
        <f>SUM(C6:C9)</f>
        <v/>
      </c>
      <c r="D10" s="9">
        <f>IF(B10=0,"",C10/B10-1)</f>
        <v/>
      </c>
    </row>
    <row r="11">
      <c r="A11" s="4" t="inlineStr">
        <is>
          <t>Unit cost ($ per transaction)</t>
        </is>
      </c>
      <c r="B11" s="11">
        <f>IF(B5=0,"",B10/B5)</f>
        <v/>
      </c>
      <c r="C11" s="11">
        <f>IF(C5=0,"",C10/C5)</f>
        <v/>
      </c>
      <c r="D11" s="9">
        <f>IF(OR(B11="",C11=""),"",C11/B11-1)</f>
        <v/>
      </c>
    </row>
    <row r="12">
      <c r="A12" s="4" t="inlineStr">
        <is>
          <t>Economics status (default limits)</t>
        </is>
      </c>
      <c r="C12" s="4">
        <f>IF(D11="","",IF(D11&lt;=0.1,"Green",IF(D11&lt;=0.25,"Amber","Red")))</f>
        <v/>
      </c>
    </row>
    <row r="13">
      <c r="A13" s="4" t="inlineStr">
        <is>
          <t>Forecast variance over 15%?</t>
        </is>
      </c>
      <c r="C13" s="4">
        <f>IF(D10="","",IF(ABS(D10)&gt;0.15,"Yes: explain volume vs unit cost","No"))</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36" customWidth="1" min="1" max="1"/>
    <col width="16" customWidth="1" min="2" max="2"/>
    <col width="12" customWidth="1" min="3" max="3"/>
    <col width="30" customWidth="1" min="4" max="4"/>
    <col width="34" customWidth="1" min="5" max="5"/>
  </cols>
  <sheetData>
    <row r="1">
      <c r="A1" s="1" t="inlineStr">
        <is>
          <t>Monthly leadership page (Chapter 14)</t>
        </is>
      </c>
    </row>
    <row r="2">
      <c r="A2" s="2" t="inlineStr">
        <is>
          <t>List every investment with its annual spend and overall status.</t>
        </is>
      </c>
    </row>
    <row r="4" ht="30" customHeight="1">
      <c r="A4" s="3" t="inlineStr">
        <is>
          <t>Investment and stage</t>
        </is>
      </c>
      <c r="B4" s="3" t="inlineStr">
        <is>
          <t>Annual spend ($)</t>
        </is>
      </c>
      <c r="C4" s="3" t="inlineStr">
        <is>
          <t>Overall</t>
        </is>
      </c>
      <c r="D4" s="3" t="inlineStr">
        <is>
          <t>Tests not Green</t>
        </is>
      </c>
      <c r="E4" s="3" t="inlineStr">
        <is>
          <t>Decision or help needed</t>
        </is>
      </c>
    </row>
    <row r="5">
      <c r="A5" s="5" t="inlineStr">
        <is>
          <t>Customer service assistant (Run)</t>
        </is>
      </c>
      <c r="B5" s="6" t="n">
        <v>400000</v>
      </c>
      <c r="C5" s="5" t="inlineStr">
        <is>
          <t>Amber</t>
        </is>
      </c>
      <c r="D5" s="5" t="inlineStr">
        <is>
          <t>Economics</t>
        </is>
      </c>
      <c r="E5" s="5" t="inlineStr">
        <is>
          <t>Fix: unit cost 14% over plan</t>
        </is>
      </c>
    </row>
    <row r="6">
      <c r="A6" s="5" t="inlineStr">
        <is>
          <t>Document intake (Scale)</t>
        </is>
      </c>
      <c r="B6" s="6" t="n">
        <v>1700000</v>
      </c>
      <c r="C6" s="5" t="inlineStr">
        <is>
          <t>Red</t>
        </is>
      </c>
      <c r="D6" s="5" t="inlineStr">
        <is>
          <t>Value; Adoption; Economics; Delivery</t>
        </is>
      </c>
      <c r="E6" s="5" t="inlineStr">
        <is>
          <t>Fix: leakage review; 19% realized net</t>
        </is>
      </c>
    </row>
    <row r="7">
      <c r="A7" s="5" t="inlineStr">
        <is>
          <t>Fraud model (Run)</t>
        </is>
      </c>
      <c r="B7" s="6" t="n">
        <v>900000</v>
      </c>
      <c r="C7" s="5" t="inlineStr">
        <is>
          <t>Amber</t>
        </is>
      </c>
      <c r="D7" s="5" t="inlineStr">
        <is>
          <t>Trust</t>
        </is>
      </c>
      <c r="E7" s="5" t="inlineStr">
        <is>
          <t>Fix: precision down two months</t>
        </is>
      </c>
    </row>
    <row r="8">
      <c r="A8" s="5" t="inlineStr">
        <is>
          <t>Coding assistant (Run)</t>
        </is>
      </c>
      <c r="B8" s="6" t="n">
        <v>1200000</v>
      </c>
      <c r="C8" s="5" t="inlineStr">
        <is>
          <t>Green</t>
        </is>
      </c>
      <c r="D8" s="5" t="inlineStr"/>
      <c r="E8" s="5" t="inlineStr"/>
    </row>
    <row r="9">
      <c r="A9" s="5" t="n"/>
      <c r="B9" s="6" t="n"/>
      <c r="C9" s="5" t="n"/>
      <c r="D9" s="5" t="n"/>
      <c r="E9" s="5" t="n"/>
    </row>
    <row r="10">
      <c r="A10" s="5" t="n"/>
      <c r="B10" s="6" t="n"/>
      <c r="C10" s="5" t="n"/>
      <c r="D10" s="5" t="n"/>
      <c r="E10" s="5" t="n"/>
    </row>
    <row r="11">
      <c r="A11" s="5" t="n"/>
      <c r="B11" s="6" t="n"/>
      <c r="C11" s="5" t="n"/>
      <c r="D11" s="5" t="n"/>
      <c r="E11" s="5" t="n"/>
    </row>
    <row r="12">
      <c r="A12" s="5" t="n"/>
      <c r="B12" s="6" t="n"/>
      <c r="C12" s="5" t="n"/>
      <c r="D12" s="5" t="n"/>
      <c r="E12" s="5" t="n"/>
    </row>
    <row r="13">
      <c r="A13" s="5" t="n"/>
      <c r="B13" s="6" t="n"/>
      <c r="C13" s="5" t="n"/>
      <c r="D13" s="5" t="n"/>
      <c r="E13" s="5" t="n"/>
    </row>
    <row r="14">
      <c r="A14" s="5" t="n"/>
      <c r="B14" s="6" t="n"/>
      <c r="C14" s="5" t="n"/>
      <c r="D14" s="5" t="n"/>
      <c r="E14" s="5" t="n"/>
    </row>
    <row r="15">
      <c r="A15" s="5" t="n"/>
      <c r="B15" s="6" t="n"/>
      <c r="C15" s="5" t="n"/>
      <c r="D15" s="5" t="n"/>
      <c r="E15" s="5" t="n"/>
    </row>
    <row r="16">
      <c r="A16" s="5" t="n"/>
      <c r="B16" s="6" t="n"/>
      <c r="C16" s="5" t="n"/>
      <c r="D16" s="5" t="n"/>
      <c r="E16" s="5" t="n"/>
    </row>
    <row r="17">
      <c r="A17" s="5" t="n"/>
      <c r="B17" s="6" t="n"/>
      <c r="C17" s="5" t="n"/>
      <c r="D17" s="5" t="n"/>
      <c r="E17" s="5" t="n"/>
    </row>
    <row r="18">
      <c r="A18" s="5" t="n"/>
      <c r="B18" s="6" t="n"/>
      <c r="C18" s="5" t="n"/>
      <c r="D18" s="5" t="n"/>
      <c r="E18" s="5" t="n"/>
    </row>
    <row r="19">
      <c r="A19" s="5" t="n"/>
      <c r="B19" s="6" t="n"/>
      <c r="C19" s="5" t="n"/>
      <c r="D19" s="5" t="n"/>
      <c r="E19" s="5" t="n"/>
    </row>
    <row r="20">
      <c r="A20" s="5" t="n"/>
      <c r="B20" s="6" t="n"/>
      <c r="C20" s="5" t="n"/>
      <c r="D20" s="5" t="n"/>
      <c r="E20" s="5" t="n"/>
    </row>
    <row r="21">
      <c r="A21" s="5" t="n"/>
      <c r="B21" s="6" t="n"/>
      <c r="C21" s="5" t="n"/>
      <c r="D21" s="5" t="n"/>
      <c r="E21" s="5" t="n"/>
    </row>
    <row r="22">
      <c r="A22" s="5" t="n"/>
      <c r="B22" s="6" t="n"/>
      <c r="C22" s="5" t="n"/>
      <c r="D22" s="5" t="n"/>
      <c r="E22" s="5" t="n"/>
    </row>
    <row r="23">
      <c r="A23" s="5" t="n"/>
      <c r="B23" s="6" t="n"/>
      <c r="C23" s="5" t="n"/>
      <c r="D23" s="5" t="n"/>
      <c r="E23" s="5" t="n"/>
    </row>
    <row r="24">
      <c r="A24" s="5" t="n"/>
      <c r="B24" s="6" t="n"/>
      <c r="C24" s="5" t="n"/>
      <c r="D24" s="5" t="n"/>
      <c r="E24" s="5" t="n"/>
    </row>
    <row r="25">
      <c r="A25" s="5" t="n"/>
      <c r="B25" s="6" t="n"/>
      <c r="C25" s="5" t="n"/>
      <c r="D25" s="5" t="n"/>
      <c r="E25" s="5" t="n"/>
    </row>
    <row r="26">
      <c r="A26" s="5" t="n"/>
      <c r="B26" s="6" t="n"/>
      <c r="C26" s="5" t="n"/>
      <c r="D26" s="5" t="n"/>
      <c r="E26" s="5" t="n"/>
    </row>
    <row r="27">
      <c r="A27" s="5" t="n"/>
      <c r="B27" s="6" t="n"/>
      <c r="C27" s="5" t="n"/>
      <c r="D27" s="5" t="n"/>
      <c r="E27" s="5" t="n"/>
    </row>
    <row r="28">
      <c r="A28" s="5" t="n"/>
      <c r="B28" s="6" t="n"/>
      <c r="C28" s="5" t="n"/>
      <c r="D28" s="5" t="n"/>
      <c r="E28" s="5" t="n"/>
    </row>
    <row r="29">
      <c r="A29" s="5" t="n"/>
      <c r="B29" s="6" t="n"/>
      <c r="C29" s="5" t="n"/>
      <c r="D29" s="5" t="n"/>
      <c r="E29" s="5" t="n"/>
    </row>
    <row r="31">
      <c r="A31" s="4" t="inlineStr">
        <is>
          <t>Total spend ($)</t>
        </is>
      </c>
      <c r="B31" s="8">
        <f>SUM(B5:B29)</f>
        <v/>
      </c>
    </row>
    <row r="32">
      <c r="A32" s="4" t="inlineStr">
        <is>
          <t>Share of spend in Green</t>
        </is>
      </c>
      <c r="B32" s="9">
        <f>IF($B$31=0,"",SUMIF($C$5:$C$29,"Green",$B$5:$B$29)/$B$31)</f>
        <v/>
      </c>
    </row>
    <row r="33">
      <c r="A33" s="4" t="inlineStr">
        <is>
          <t>Share of spend in Amber</t>
        </is>
      </c>
      <c r="B33" s="9">
        <f>IF($B$31=0,"",SUMIF($C$5:$C$29,"Amber",$B$5:$B$29)/$B$31)</f>
        <v/>
      </c>
    </row>
    <row r="34">
      <c r="A34" s="4" t="inlineStr">
        <is>
          <t>Share of spend in Red</t>
        </is>
      </c>
      <c r="B34" s="9">
        <f>IF($B$31=0,"",SUMIF($C$5:$C$29,"Red",$B$5:$B$29)/$B$31)</f>
        <v/>
      </c>
    </row>
    <row r="35">
      <c r="A35" s="4" t="inlineStr">
        <is>
          <t>Red spend target (10% or less) met?</t>
        </is>
      </c>
      <c r="B35" s="4">
        <f>IF(B34="","",IF(B34&lt;=0.1,"Yes","No"))</f>
        <v/>
      </c>
    </row>
  </sheetData>
  <dataValidations count="1">
    <dataValidation sqref="C5:C29" showDropDown="0" showInputMessage="0" showErrorMessage="0" allowBlank="1" type="list">
      <formula1>"Green,Amber,Red"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52" customWidth="1" min="1" max="1"/>
    <col width="70" customWidth="1" min="2" max="2"/>
  </cols>
  <sheetData>
    <row r="1">
      <c r="A1" s="1" t="inlineStr">
        <is>
          <t>Gate decision record (Chapter 13)</t>
        </is>
      </c>
    </row>
    <row r="2">
      <c r="A2" s="2" t="inlineStr"/>
    </row>
    <row r="4" ht="30" customHeight="1">
      <c r="A4" s="3" t="inlineStr">
        <is>
          <t>Item</t>
        </is>
      </c>
      <c r="B4" s="3" t="inlineStr">
        <is>
          <t>Entry</t>
        </is>
      </c>
    </row>
    <row r="5">
      <c r="A5" s="4" t="inlineStr">
        <is>
          <t>Investment, inventory number, and tier</t>
        </is>
      </c>
      <c r="B5" s="5" t="inlineStr">
        <is>
          <t>Contract review (FYT-077), Medium</t>
        </is>
      </c>
    </row>
    <row r="6">
      <c r="A6" s="4" t="inlineStr">
        <is>
          <t>Gate</t>
        </is>
      </c>
      <c r="B6" s="5" t="inlineStr">
        <is>
          <t>Explore to Pilot</t>
        </is>
      </c>
    </row>
    <row r="7">
      <c r="A7" s="4" t="inlineStr">
        <is>
          <t>Criteria agreed at the start of the stage (date)</t>
        </is>
      </c>
      <c r="B7" s="5" t="inlineStr">
        <is>
          <t>90% on 300-clause test set; baseline captured</t>
        </is>
      </c>
    </row>
    <row r="8">
      <c r="A8" s="4" t="inlineStr">
        <is>
          <t>Evidence against each Green criterion</t>
        </is>
      </c>
      <c r="B8" s="5" t="inlineStr">
        <is>
          <t>92% on second iteration; baseline 3.5 hours per contract</t>
        </is>
      </c>
    </row>
    <row r="9">
      <c r="A9" s="4" t="inlineStr">
        <is>
          <t>Evidence against each stop criterion</t>
        </is>
      </c>
      <c r="B9" s="5" t="inlineStr">
        <is>
          <t>Target met; stop criterion not triggered</t>
        </is>
      </c>
    </row>
    <row r="10">
      <c r="A10" s="4" t="inlineStr">
        <is>
          <t>Five-test status at the gate</t>
        </is>
      </c>
      <c r="B10" s="5" t="inlineStr">
        <is>
          <t>Trust Green (test set); Delivery Green</t>
        </is>
      </c>
    </row>
    <row r="11">
      <c r="A11" s="4" t="inlineStr">
        <is>
          <t>Decision</t>
        </is>
      </c>
      <c r="B11" s="5" t="inlineStr">
        <is>
          <t>Fund</t>
        </is>
      </c>
    </row>
    <row r="12">
      <c r="A12" s="4" t="inlineStr">
        <is>
          <t>If fix: actions, owner, and end date</t>
        </is>
      </c>
      <c r="B12" s="5" t="inlineStr"/>
    </row>
    <row r="13">
      <c r="A13" s="4" t="inlineStr">
        <is>
          <t>If fund: next-stage budget cap, end date, Green and stop criteria</t>
        </is>
      </c>
      <c r="B13" s="5" t="inlineStr">
        <is>
          <t>$250,000; four months; review time 30% lower than control</t>
        </is>
      </c>
    </row>
    <row r="14">
      <c r="A14" s="4" t="inlineStr">
        <is>
          <t>If stop: retirement steps, budget returned, lessons recorded</t>
        </is>
      </c>
      <c r="B14" s="5" t="inlineStr"/>
    </row>
    <row r="15">
      <c r="A15" s="4" t="inlineStr">
        <is>
          <t>Decided by, date, and dissent</t>
        </is>
      </c>
      <c r="B15" s="5" t="inlineStr">
        <is>
          <t>Governance lead and sponsor</t>
        </is>
      </c>
    </row>
  </sheetData>
  <dataValidations count="1">
    <dataValidation sqref="B11" showDropDown="0" showInputMessage="0" showErrorMessage="0" allowBlank="1" type="list">
      <formula1>"Fund,Fix once,Stop and reallocate"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52" customWidth="1" min="1" max="1"/>
    <col width="70" customWidth="1" min="2" max="2"/>
  </cols>
  <sheetData>
    <row r="1">
      <c r="A1" s="1" t="inlineStr">
        <is>
          <t>Red decision memo (Chapter 14)</t>
        </is>
      </c>
    </row>
    <row r="2">
      <c r="A2" s="2" t="inlineStr">
        <is>
          <t>One to two pages. Circulate before the review board meeting.</t>
        </is>
      </c>
    </row>
    <row r="4" ht="30" customHeight="1">
      <c r="A4" s="3" t="inlineStr">
        <is>
          <t>Item</t>
        </is>
      </c>
      <c r="B4" s="3" t="inlineStr">
        <is>
          <t>Entry</t>
        </is>
      </c>
    </row>
    <row r="5">
      <c r="A5" s="4" t="inlineStr">
        <is>
          <t>Investment, stage, and inventory number</t>
        </is>
      </c>
      <c r="B5" s="5" t="inlineStr">
        <is>
          <t>Chat tools, three (Run)</t>
        </is>
      </c>
    </row>
    <row r="6">
      <c r="A6" s="4" t="inlineStr">
        <is>
          <t>Cause and evidence</t>
        </is>
      </c>
      <c r="B6" s="5" t="inlineStr">
        <is>
          <t>Three tools doing the same job; 2,300 licenses, about 900 weekly users; no baseline</t>
        </is>
      </c>
    </row>
    <row r="7">
      <c r="A7" s="4" t="inlineStr">
        <is>
          <t>Options (fix: cost and timing; stop: write-off and money released)</t>
        </is>
      </c>
      <c r="B7" s="5" t="inlineStr">
        <is>
          <t>A keep all; B consolidate to one tool (about $450,000 a year); C stop all</t>
        </is>
      </c>
    </row>
    <row r="8">
      <c r="A8" s="4" t="inlineStr">
        <is>
          <t>Customer impact, and risk impact</t>
        </is>
      </c>
      <c r="B8" s="5" t="inlineStr">
        <is>
          <t>Option B moves all use under the strongest data terms</t>
        </is>
      </c>
    </row>
    <row r="9">
      <c r="A9" s="4" t="inlineStr">
        <is>
          <t>Recommendation</t>
        </is>
      </c>
      <c r="B9" s="5" t="inlineStr">
        <is>
          <t>Option B, migration within 90 days</t>
        </is>
      </c>
    </row>
    <row r="10">
      <c r="A10" s="4" t="inlineStr">
        <is>
          <t>Decision needed by</t>
        </is>
      </c>
      <c r="B10" s="5" t="inlineStr">
        <is>
          <t>Next review board meeting</t>
        </is>
      </c>
    </row>
    <row r="11">
      <c r="A11" s="4" t="inlineStr">
        <is>
          <t>Decision, date, and dissent (after the meeting)</t>
        </is>
      </c>
      <c r="B11" s="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22" customWidth="1" min="1" max="1"/>
    <col width="30" customWidth="1" min="2" max="2"/>
    <col width="14" customWidth="1" min="3" max="3"/>
    <col width="14" customWidth="1" min="4" max="4"/>
    <col width="12" customWidth="1" min="5" max="5"/>
    <col width="16" customWidth="1" min="6" max="6"/>
    <col width="26" customWidth="1" min="7" max="7"/>
  </cols>
  <sheetData>
    <row r="1">
      <c r="A1" s="1" t="inlineStr">
        <is>
          <t>General-purpose tool value plan (Chapter 17)</t>
        </is>
      </c>
    </row>
    <row r="2">
      <c r="A2" s="2" t="inlineStr">
        <is>
          <t>One row per role group. Times are minutes per task from task sampling or the cohort comparison.</t>
        </is>
      </c>
    </row>
    <row r="4" ht="30" customHeight="1">
      <c r="A4" s="3" t="inlineStr">
        <is>
          <t>Role group</t>
        </is>
      </c>
      <c r="B4" s="3" t="inlineStr">
        <is>
          <t>Named task</t>
        </is>
      </c>
      <c r="C4" s="3" t="inlineStr">
        <is>
          <t>Minutes without</t>
        </is>
      </c>
      <c r="D4" s="3" t="inlineStr">
        <is>
          <t>Minutes with</t>
        </is>
      </c>
      <c r="E4" s="3" t="inlineStr">
        <is>
          <t>Change</t>
        </is>
      </c>
      <c r="F4" s="3" t="inlineStr">
        <is>
          <t>Measurable?</t>
        </is>
      </c>
      <c r="G4" s="3" t="inlineStr">
        <is>
          <t>Decision</t>
        </is>
      </c>
    </row>
    <row r="5">
      <c r="A5" s="5" t="inlineStr">
        <is>
          <t>Credit analysts</t>
        </is>
      </c>
      <c r="B5" s="5" t="inlineStr">
        <is>
          <t>Credit memo on a loan application</t>
        </is>
      </c>
      <c r="C5" s="5" t="n">
        <v>35</v>
      </c>
      <c r="D5" s="5" t="n">
        <v>26</v>
      </c>
      <c r="E5" s="9">
        <f>IF(OR(C5="",D5="",C5=0),"",D5/C5-1)</f>
        <v/>
      </c>
      <c r="F5" s="5" t="inlineStr">
        <is>
          <t>Yes</t>
        </is>
      </c>
      <c r="G5" s="5" t="inlineStr">
        <is>
          <t>License</t>
        </is>
      </c>
    </row>
    <row r="6">
      <c r="A6" s="5" t="inlineStr">
        <is>
          <t>Finance analysts</t>
        </is>
      </c>
      <c r="B6" s="5" t="inlineStr">
        <is>
          <t>Monthly variance commentary</t>
        </is>
      </c>
      <c r="C6" s="5" t="n">
        <v>90</v>
      </c>
      <c r="D6" s="5" t="n">
        <v>72</v>
      </c>
      <c r="E6" s="9">
        <f>IF(OR(C6="",D6="",C6=0),"",D6/C6-1)</f>
        <v/>
      </c>
      <c r="F6" s="5" t="inlineStr">
        <is>
          <t>Yes</t>
        </is>
      </c>
      <c r="G6" s="5" t="inlineStr">
        <is>
          <t>License</t>
        </is>
      </c>
    </row>
    <row r="7">
      <c r="A7" s="5" t="inlineStr">
        <is>
          <t>Service supervisors</t>
        </is>
      </c>
      <c r="B7" s="5" t="inlineStr">
        <is>
          <t>Call quality notes</t>
        </is>
      </c>
      <c r="C7" s="5" t="n">
        <v>20</v>
      </c>
      <c r="D7" s="5" t="n">
        <v>17</v>
      </c>
      <c r="E7" s="9">
        <f>IF(OR(C7="",D7="",C7=0),"",D7/C7-1)</f>
        <v/>
      </c>
      <c r="F7" s="5" t="inlineStr">
        <is>
          <t>Yes, smaller</t>
        </is>
      </c>
      <c r="G7" s="5" t="inlineStr">
        <is>
          <t>License</t>
        </is>
      </c>
    </row>
    <row r="8">
      <c r="A8" s="5" t="inlineStr">
        <is>
          <t>HR advisers</t>
        </is>
      </c>
      <c r="B8" s="5" t="inlineStr">
        <is>
          <t>Replies to policy questions</t>
        </is>
      </c>
      <c r="C8" s="5" t="n">
        <v>12</v>
      </c>
      <c r="D8" s="5" t="n">
        <v>11</v>
      </c>
      <c r="E8" s="9">
        <f>IF(OR(C8="",D8="",C8=0),"",D8/C8-1)</f>
        <v/>
      </c>
      <c r="F8" s="5" t="inlineStr">
        <is>
          <t>No</t>
        </is>
      </c>
      <c r="G8" s="5" t="inlineStr">
        <is>
          <t>Request pool only</t>
        </is>
      </c>
    </row>
    <row r="9">
      <c r="A9" s="5" t="n"/>
      <c r="B9" s="5" t="n"/>
      <c r="C9" s="5" t="n"/>
      <c r="D9" s="5" t="n"/>
      <c r="E9" s="9">
        <f>IF(OR(C9="",D9="",C9=0),"",D9/C9-1)</f>
        <v/>
      </c>
      <c r="F9" s="5" t="n"/>
      <c r="G9" s="5" t="n"/>
    </row>
    <row r="10">
      <c r="A10" s="5" t="n"/>
      <c r="B10" s="5" t="n"/>
      <c r="C10" s="5" t="n"/>
      <c r="D10" s="5" t="n"/>
      <c r="E10" s="9">
        <f>IF(OR(C10="",D10="",C10=0),"",D10/C10-1)</f>
        <v/>
      </c>
      <c r="F10" s="5" t="n"/>
      <c r="G10" s="5" t="n"/>
    </row>
    <row r="11">
      <c r="A11" s="5" t="n"/>
      <c r="B11" s="5" t="n"/>
      <c r="C11" s="5" t="n"/>
      <c r="D11" s="5" t="n"/>
      <c r="E11" s="9">
        <f>IF(OR(C11="",D11="",C11=0),"",D11/C11-1)</f>
        <v/>
      </c>
      <c r="F11" s="5" t="n"/>
      <c r="G11" s="5" t="n"/>
    </row>
    <row r="12">
      <c r="A12" s="5" t="n"/>
      <c r="B12" s="5" t="n"/>
      <c r="C12" s="5" t="n"/>
      <c r="D12" s="5" t="n"/>
      <c r="E12" s="9">
        <f>IF(OR(C12="",D12="",C12=0),"",D12/C12-1)</f>
        <v/>
      </c>
      <c r="F12" s="5" t="n"/>
      <c r="G12" s="5" t="n"/>
    </row>
    <row r="13">
      <c r="A13" s="5" t="n"/>
      <c r="B13" s="5" t="n"/>
      <c r="C13" s="5" t="n"/>
      <c r="D13" s="5" t="n"/>
      <c r="E13" s="9">
        <f>IF(OR(C13="",D13="",C13=0),"",D13/C13-1)</f>
        <v/>
      </c>
      <c r="F13" s="5" t="n"/>
      <c r="G13" s="5" t="n"/>
    </row>
    <row r="14">
      <c r="A14" s="5" t="n"/>
      <c r="B14" s="5" t="n"/>
      <c r="C14" s="5" t="n"/>
      <c r="D14" s="5" t="n"/>
      <c r="E14" s="9">
        <f>IF(OR(C14="",D14="",C14=0),"",D14/C14-1)</f>
        <v/>
      </c>
      <c r="F14" s="5" t="n"/>
      <c r="G14" s="5" t="n"/>
    </row>
    <row r="15">
      <c r="A15" s="5" t="n"/>
      <c r="B15" s="5" t="n"/>
      <c r="C15" s="5" t="n"/>
      <c r="D15" s="5" t="n"/>
      <c r="E15" s="9">
        <f>IF(OR(C15="",D15="",C15=0),"",D15/C15-1)</f>
        <v/>
      </c>
      <c r="F15" s="5" t="n"/>
      <c r="G15" s="5" t="n"/>
    </row>
    <row r="17">
      <c r="A17" s="4" t="inlineStr">
        <is>
          <t>Seats</t>
        </is>
      </c>
      <c r="C17" s="10" t="n">
        <v>950</v>
      </c>
    </row>
    <row r="18">
      <c r="A18" s="4" t="inlineStr">
        <is>
          <t>Price per seat per month ($)</t>
        </is>
      </c>
      <c r="C18" s="6" t="n">
        <v>30</v>
      </c>
    </row>
    <row r="19">
      <c r="A19" s="4" t="inlineStr">
        <is>
          <t>Annual cost ($)</t>
        </is>
      </c>
      <c r="C19" s="8">
        <f>C17*C18*12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16" customWidth="1" min="1" max="1"/>
    <col width="56" customWidth="1" min="2" max="2"/>
    <col width="40" customWidth="1" min="3" max="3"/>
    <col width="40" customWidth="1" min="4" max="4"/>
    <col width="14" customWidth="1" min="5" max="5"/>
  </cols>
  <sheetData>
    <row r="1">
      <c r="A1" s="1" t="inlineStr">
        <is>
          <t>Vendor due-diligence questions (Appendix D)</t>
        </is>
      </c>
    </row>
    <row r="2">
      <c r="A2" s="2" t="inlineStr">
        <is>
          <t>Not legal advice. Review answers with Procurement and Legal.</t>
        </is>
      </c>
    </row>
    <row r="4" ht="30" customHeight="1">
      <c r="A4" s="3" t="inlineStr">
        <is>
          <t>Area</t>
        </is>
      </c>
      <c r="B4" s="3" t="inlineStr">
        <is>
          <t>Question</t>
        </is>
      </c>
      <c r="C4" s="3" t="inlineStr">
        <is>
          <t>What the answer decides</t>
        </is>
      </c>
      <c r="D4" s="3" t="inlineStr">
        <is>
          <t>Vendor answer</t>
        </is>
      </c>
      <c r="E4" s="3" t="inlineStr">
        <is>
          <t>Acceptable?</t>
        </is>
      </c>
    </row>
    <row r="5">
      <c r="A5" s="4" t="inlineStr">
        <is>
          <t>Data use</t>
        </is>
      </c>
      <c r="B5" s="4" t="inlineStr">
        <is>
          <t>Is our data used to train or improve your models? Can that be excluded in the contract?</t>
        </is>
      </c>
      <c r="C5" s="4" t="inlineStr">
        <is>
          <t>Which data classes the platform may receive</t>
        </is>
      </c>
      <c r="D5" s="5" t="n"/>
      <c r="E5" s="5" t="n"/>
    </row>
    <row r="6">
      <c r="A6" s="4" t="inlineStr">
        <is>
          <t>Retention</t>
        </is>
      </c>
      <c r="B6" s="4" t="inlineStr">
        <is>
          <t>How long are prompts, outputs, and logs kept, and can we set the period?</t>
        </is>
      </c>
      <c r="C6" s="4" t="inlineStr">
        <is>
          <t>The data classes allowed and the contract retention clause</t>
        </is>
      </c>
      <c r="D6" s="5" t="n"/>
      <c r="E6" s="5" t="n"/>
    </row>
    <row r="7">
      <c r="A7" s="4" t="inlineStr">
        <is>
          <t>Location</t>
        </is>
      </c>
      <c r="B7" s="4" t="inlineStr">
        <is>
          <t>Where is our data processed and stored, and which subprocessors are involved?</t>
        </is>
      </c>
      <c r="C7" s="4" t="inlineStr">
        <is>
          <t>Whether data residency rules are met</t>
        </is>
      </c>
      <c r="D7" s="5" t="n"/>
      <c r="E7" s="5" t="n"/>
    </row>
    <row r="8">
      <c r="A8" s="4" t="inlineStr">
        <is>
          <t>Security</t>
        </is>
      </c>
      <c r="B8" s="4" t="inlineStr">
        <is>
          <t>Which independent security assessments can you share?</t>
        </is>
      </c>
      <c r="C8" s="4" t="inlineStr">
        <is>
          <t>Whether the security review can rely on them or must test itself</t>
        </is>
      </c>
      <c r="D8" s="5" t="n"/>
      <c r="E8" s="5" t="n"/>
    </row>
    <row r="9">
      <c r="A9" s="4" t="inlineStr">
        <is>
          <t>Regulated data</t>
        </is>
      </c>
      <c r="B9" s="4" t="inlineStr">
        <is>
          <t>Will you sign the data protection terms our regulators require for customer data?</t>
        </is>
      </c>
      <c r="C9" s="4" t="inlineStr">
        <is>
          <t>Whether customer data may be used at all</t>
        </is>
      </c>
      <c r="D9" s="5" t="n"/>
      <c r="E9" s="5" t="n"/>
    </row>
    <row r="10">
      <c r="A10" s="4" t="inlineStr">
        <is>
          <t>Model changes</t>
        </is>
      </c>
      <c r="B10" s="4" t="inlineStr">
        <is>
          <t>How much notice before a model version changes or is retired? Can we test first?</t>
        </is>
      </c>
      <c r="C10" s="4" t="inlineStr">
        <is>
          <t>The fallback plan and the budget for re-testing</t>
        </is>
      </c>
      <c r="D10" s="5" t="n"/>
      <c r="E10" s="5" t="n"/>
    </row>
    <row r="11">
      <c r="A11" s="4" t="inlineStr">
        <is>
          <t>Evidence</t>
        </is>
      </c>
      <c r="B11" s="4" t="inlineStr">
        <is>
          <t>Can we run our own test set before signing?</t>
        </is>
      </c>
      <c r="C11" s="4" t="inlineStr">
        <is>
          <t>Whether the Trust test can be scored before purchase</t>
        </is>
      </c>
      <c r="D11" s="5" t="n"/>
      <c r="E11" s="5" t="n"/>
    </row>
    <row r="12">
      <c r="A12" s="4" t="inlineStr">
        <is>
          <t>Reporting</t>
        </is>
      </c>
      <c r="B12" s="4" t="inlineStr">
        <is>
          <t>Can usage and cost be reported by our use case or department?</t>
        </is>
      </c>
      <c r="C12" s="4" t="inlineStr">
        <is>
          <t>How cost is allocated on the threshold sheet</t>
        </is>
      </c>
      <c r="D12" s="5" t="n"/>
      <c r="E12" s="5" t="n"/>
    </row>
    <row r="13">
      <c r="A13" s="4" t="inlineStr">
        <is>
          <t>Incidents</t>
        </is>
      </c>
      <c r="B13" s="4" t="inlineStr">
        <is>
          <t>How quickly will you notify us of a security or quality incident?</t>
        </is>
      </c>
      <c r="C13" s="4" t="inlineStr">
        <is>
          <t>Whether the incident process can meet its own deadlines</t>
        </is>
      </c>
      <c r="D13" s="5" t="n"/>
      <c r="E13" s="5" t="n"/>
    </row>
    <row r="14">
      <c r="A14" s="4" t="inlineStr">
        <is>
          <t>New features</t>
        </is>
      </c>
      <c r="B14" s="4" t="inlineStr">
        <is>
          <t>Can new AI features be kept off until we enable them?</t>
        </is>
      </c>
      <c r="C14" s="4" t="inlineStr">
        <is>
          <t>Whether new features can wait for intake</t>
        </is>
      </c>
      <c r="D14" s="5" t="n"/>
      <c r="E14" s="5" t="n"/>
    </row>
    <row r="15">
      <c r="A15" s="4" t="inlineStr">
        <is>
          <t>Continuity</t>
        </is>
      </c>
      <c r="B15" s="4" t="inlineStr">
        <is>
          <t>What happens to our service if your model is withdrawn, your service fails, or your company leaves the market?</t>
        </is>
      </c>
      <c r="C15" s="4" t="inlineStr">
        <is>
          <t>The manual fallback and the exit budget</t>
        </is>
      </c>
      <c r="D15" s="5" t="n"/>
      <c r="E15" s="5" t="n"/>
    </row>
    <row r="16">
      <c r="A16" s="4" t="inlineStr">
        <is>
          <t>Exit</t>
        </is>
      </c>
      <c r="B16" s="4" t="inlineStr">
        <is>
          <t>Can we export our data, prompts, and configurations if we leave?</t>
        </is>
      </c>
      <c r="C16" s="4" t="inlineStr">
        <is>
          <t>How much lock-in the portfolio review must price in</t>
        </is>
      </c>
      <c r="D16" s="5" t="n"/>
      <c r="E16" s="5" t="n"/>
    </row>
    <row r="18">
      <c r="B18" s="4" t="inlineStr">
        <is>
          <t>Answers marked No or Needs follow-up</t>
        </is>
      </c>
      <c r="E18" s="4">
        <f>COUNTIF(E5:E16,"No")+COUNTIF(E5:E16,"Needs follow-up")</f>
        <v/>
      </c>
    </row>
  </sheetData>
  <dataValidations count="1">
    <dataValidation sqref="E5:E16" showDropDown="0" showInputMessage="0" showErrorMessage="0" allowBlank="1" type="list">
      <formula1>"Yes,No,Needs follow-up"</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10" customWidth="1" min="1" max="1"/>
    <col width="64" customWidth="1" min="2" max="2"/>
    <col width="22" customWidth="1" min="3" max="3"/>
    <col width="14" customWidth="1" min="4" max="4"/>
  </cols>
  <sheetData>
    <row r="1">
      <c r="A1" s="1" t="inlineStr">
        <is>
          <t>90-day plan tracker (Chapter 15)</t>
        </is>
      </c>
    </row>
    <row r="2">
      <c r="A2" s="2" t="inlineStr"/>
    </row>
    <row r="4" ht="30" customHeight="1">
      <c r="A4" s="3" t="inlineStr">
        <is>
          <t>Days</t>
        </is>
      </c>
      <c r="B4" s="3" t="inlineStr">
        <is>
          <t>Activity</t>
        </is>
      </c>
      <c r="C4" s="3" t="inlineStr">
        <is>
          <t>Owner</t>
        </is>
      </c>
      <c r="D4" s="3" t="inlineStr">
        <is>
          <t>Done</t>
        </is>
      </c>
    </row>
    <row r="5">
      <c r="A5" s="4" t="inlineStr">
        <is>
          <t>1-14</t>
        </is>
      </c>
      <c r="B5" s="4" t="inlineStr">
        <is>
          <t>Governance lead confirmed; review board charter approved</t>
        </is>
      </c>
      <c r="C5" s="5" t="n"/>
      <c r="D5" s="5" t="n"/>
    </row>
    <row r="6">
      <c r="A6" s="4" t="inlineStr">
        <is>
          <t>1-30</t>
        </is>
      </c>
      <c r="B6" s="4" t="inlineStr">
        <is>
          <t>Inventory built from invoices, contracts, expenses, sign-on records, scans</t>
        </is>
      </c>
      <c r="C6" s="5" t="n"/>
      <c r="D6" s="5" t="n"/>
    </row>
    <row r="7">
      <c r="A7" s="4" t="inlineStr">
        <is>
          <t>1-30</t>
        </is>
      </c>
      <c r="B7" s="4" t="inlineStr">
        <is>
          <t>Spend baseline set; owner assigned to every entry</t>
        </is>
      </c>
      <c r="C7" s="5" t="n"/>
      <c r="D7" s="5" t="n"/>
    </row>
    <row r="8">
      <c r="A8" s="4" t="inlineStr">
        <is>
          <t>1-30</t>
        </is>
      </c>
      <c r="B8" s="4" t="inlineStr">
        <is>
          <t>Current review processes mapped</t>
        </is>
      </c>
      <c r="C8" s="5" t="n"/>
      <c r="D8" s="5" t="n"/>
    </row>
    <row r="9">
      <c r="A9" s="4" t="inlineStr">
        <is>
          <t>21-30</t>
        </is>
      </c>
      <c r="B9" s="4" t="inlineStr">
        <is>
          <t>Top 20 investments by spend agreed</t>
        </is>
      </c>
      <c r="C9" s="5" t="n"/>
      <c r="D9" s="5" t="n"/>
    </row>
    <row r="10">
      <c r="A10" s="4" t="inlineStr">
        <is>
          <t>31-45</t>
        </is>
      </c>
      <c r="B10" s="4" t="inlineStr">
        <is>
          <t>Intake and tiering launched in the existing intake form</t>
        </is>
      </c>
      <c r="C10" s="5" t="n"/>
      <c r="D10" s="5" t="n"/>
    </row>
    <row r="11">
      <c r="A11" s="4" t="inlineStr">
        <is>
          <t>31-60</t>
        </is>
      </c>
      <c r="B11" s="4" t="inlineStr">
        <is>
          <t>Gateway logging, tagging, and identifier checks switched on</t>
        </is>
      </c>
      <c r="C11" s="5" t="n"/>
      <c r="D11" s="5" t="n"/>
    </row>
    <row r="12">
      <c r="A12" s="4" t="inlineStr">
        <is>
          <t>31-45</t>
        </is>
      </c>
      <c r="B12" s="4" t="inlineStr">
        <is>
          <t>Model catalog and measure definitions published</t>
        </is>
      </c>
      <c r="C12" s="5" t="n"/>
      <c r="D12" s="5" t="n"/>
    </row>
    <row r="13">
      <c r="A13" s="4" t="inlineStr">
        <is>
          <t>31-60</t>
        </is>
      </c>
      <c r="B13" s="4" t="inlineStr">
        <is>
          <t>Threshold sheets signed for the top 20</t>
        </is>
      </c>
      <c r="C13" s="5" t="n"/>
      <c r="D13" s="5" t="n"/>
    </row>
    <row r="14">
      <c r="A14" s="4" t="inlineStr">
        <is>
          <t>31-60</t>
        </is>
      </c>
      <c r="B14" s="4" t="inlineStr">
        <is>
          <t>Data sources connected for monthly status</t>
        </is>
      </c>
      <c r="C14" s="5" t="n"/>
      <c r="D14" s="5" t="n"/>
    </row>
    <row r="15">
      <c r="A15" s="4" t="inlineStr">
        <is>
          <t>61-80</t>
        </is>
      </c>
      <c r="B15" s="4" t="inlineStr">
        <is>
          <t>First test sets and live samples for High-tier systems</t>
        </is>
      </c>
      <c r="C15" s="5" t="n"/>
      <c r="D15" s="5" t="n"/>
    </row>
    <row r="16">
      <c r="A16" s="4" t="inlineStr">
        <is>
          <t>61-90</t>
        </is>
      </c>
      <c r="B16" s="4" t="inlineStr">
        <is>
          <t>Weekly owner checks started</t>
        </is>
      </c>
      <c r="C16" s="5" t="n"/>
      <c r="D16" s="5" t="n"/>
    </row>
    <row r="17">
      <c r="A17" s="4" t="inlineStr">
        <is>
          <t>75-85</t>
        </is>
      </c>
      <c r="B17" s="4" t="inlineStr">
        <is>
          <t>Status rules applied; first monthly health report issued</t>
        </is>
      </c>
      <c r="C17" s="5" t="n"/>
      <c r="D17" s="5" t="n"/>
    </row>
    <row r="18">
      <c r="A18" s="4" t="inlineStr">
        <is>
          <t>85-90</t>
        </is>
      </c>
      <c r="B18" s="4" t="inlineStr">
        <is>
          <t>First portfolio review; fund, fix, and stop decisions recorded</t>
        </is>
      </c>
      <c r="C18" s="5" t="n"/>
      <c r="D18" s="5" t="n"/>
    </row>
    <row r="20">
      <c r="B20" s="4" t="inlineStr">
        <is>
          <t>Activities done</t>
        </is>
      </c>
      <c r="D20" s="4">
        <f>COUNTIF(D5:D18,"Yes")&amp;" of "&amp;COUNTA(B5:B18)</f>
        <v/>
      </c>
    </row>
  </sheetData>
  <dataValidations count="1">
    <dataValidation sqref="D5:D18" showDropDown="0" showInputMessage="0" showErrorMessage="0" allowBlank="1" type="list">
      <formula1>"Yes,No"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4" customWidth="1" min="1" max="1"/>
    <col width="42" customWidth="1" min="2" max="2"/>
    <col width="46" customWidth="1" min="3" max="3"/>
    <col width="60" customWidth="1" min="4" max="4"/>
  </cols>
  <sheetData>
    <row r="1">
      <c r="A1" s="1" t="inlineStr">
        <is>
          <t>AI review board charter (Chapter 2)</t>
        </is>
      </c>
    </row>
    <row r="2">
      <c r="A2" s="2" t="inlineStr">
        <is>
          <t>The charter should fit on one page. Write your entry in the yellow column; the right-hand column shows the book's fictional example.</t>
        </is>
      </c>
    </row>
    <row r="4" ht="30" customHeight="1">
      <c r="A4" s="3" t="inlineStr">
        <is>
          <t>Section</t>
        </is>
      </c>
      <c r="B4" s="3" t="inlineStr">
        <is>
          <t>What to write</t>
        </is>
      </c>
      <c r="C4" s="3" t="inlineStr">
        <is>
          <t>Your entry</t>
        </is>
      </c>
      <c r="D4" s="3" t="inlineStr">
        <is>
          <t>Example (Fytvio)</t>
        </is>
      </c>
    </row>
    <row r="5">
      <c r="A5" s="4" t="inlineStr">
        <is>
          <t>Purpose</t>
        </is>
      </c>
      <c r="B5" s="4" t="inlineStr">
        <is>
          <t>Why the review board exists, in one or two sentences</t>
        </is>
      </c>
      <c r="C5" s="5" t="n"/>
      <c r="D5" s="4" t="inlineStr">
        <is>
          <t>Approve, oversee, and make funding recommendations on all AI used at Fytvio</t>
        </is>
      </c>
    </row>
    <row r="6">
      <c r="A6" s="4" t="inlineStr">
        <is>
          <t>Scope</t>
        </is>
      </c>
      <c r="B6" s="4" t="inlineStr">
        <is>
          <t>Which AI is covered</t>
        </is>
      </c>
      <c r="C6" s="5" t="n"/>
      <c r="D6" s="4" t="inlineStr">
        <is>
          <t>Platforms and the uses on them; built, bought, embedded SaaS features, agents, existing ML models</t>
        </is>
      </c>
    </row>
    <row r="7">
      <c r="A7" s="4" t="inlineStr">
        <is>
          <t>Boundary</t>
        </is>
      </c>
      <c r="B7" s="4" t="inlineStr">
        <is>
          <t>What stays with existing reviews</t>
        </is>
      </c>
      <c r="C7" s="5" t="n"/>
      <c r="D7" s="4" t="inlineStr">
        <is>
          <t>Business case, architecture fit, contracts, data rights</t>
        </is>
      </c>
    </row>
    <row r="8">
      <c r="A8" s="4" t="inlineStr">
        <is>
          <t>Chair and members</t>
        </is>
      </c>
      <c r="B8" s="4" t="inlineStr">
        <is>
          <t>Named roles, not people</t>
        </is>
      </c>
      <c r="C8" s="5" t="n"/>
      <c r="D8" s="4" t="inlineStr">
        <is>
          <t>Chief data and AI officer (chair); chief risk officer (co-chair, veto on risk); CISO; CPO; Compliance; Finance; Enterprise Architecture; business-unit AI leads attend for their items</t>
        </is>
      </c>
    </row>
    <row r="9">
      <c r="A9" s="4" t="inlineStr">
        <is>
          <t>Secretary</t>
        </is>
      </c>
      <c r="B9" s="4" t="inlineStr">
        <is>
          <t>Who runs the review board</t>
        </is>
      </c>
      <c r="C9" s="5" t="n"/>
      <c r="D9" s="4" t="inlineStr">
        <is>
          <t>AI governance lead</t>
        </is>
      </c>
    </row>
    <row r="10">
      <c r="A10" s="4" t="inlineStr">
        <is>
          <t>Independence</t>
        </is>
      </c>
      <c r="B10" s="4" t="inlineStr">
        <is>
          <t>Reporting line of the governance lead; role of internal audit</t>
        </is>
      </c>
      <c r="C10" s="5" t="n"/>
      <c r="D10" s="4" t="inlineStr">
        <is>
          <t>Governance lead reports to the chief risk officer; internal audit observes and reviews annually</t>
        </is>
      </c>
    </row>
    <row r="11">
      <c r="A11" s="4" t="inlineStr">
        <is>
          <t>AI policy and exceptions</t>
        </is>
      </c>
      <c r="B11" s="4" t="inlineStr">
        <is>
          <t>Policy owner; how exceptions are approved and tracked</t>
        </is>
      </c>
      <c r="C11" s="5" t="n"/>
      <c r="D11" s="4" t="inlineStr">
        <is>
          <t>AI policy approved by the executive committee; exceptions with expiry dates, reported quarterly</t>
        </is>
      </c>
    </row>
    <row r="12">
      <c r="A12" s="4" t="inlineStr">
        <is>
          <t>Quorum</t>
        </is>
      </c>
      <c r="B12" s="4" t="inlineStr">
        <is>
          <t>Minimum attendance to decide</t>
        </is>
      </c>
      <c r="C12" s="5" t="n"/>
      <c r="D12" s="4" t="inlineStr">
        <is>
          <t>Chair or delegate, co-chair or delegate, plus security and privacy, plus a majority of members</t>
        </is>
      </c>
    </row>
    <row r="13">
      <c r="A13" s="4" t="inlineStr">
        <is>
          <t>Decision rights</t>
        </is>
      </c>
      <c r="B13" s="4" t="inlineStr">
        <is>
          <t>What the review board decides; what is delegated</t>
        </is>
      </c>
      <c r="C13" s="5" t="n"/>
      <c r="D13" s="4" t="inlineStr">
        <is>
          <t>Board: platforms, High-tier investments, Red decisions, pause or retire; funds up to $500,000 per stage and recommends above it to the investment committee. Business-unit AI leads: Low and Medium tier in their units. Governance lead: standards, profiles, status</t>
        </is>
      </c>
    </row>
    <row r="14">
      <c r="A14" s="4" t="inlineStr">
        <is>
          <t>Escalation</t>
        </is>
      </c>
      <c r="B14" s="4" t="inlineStr">
        <is>
          <t>Where unresolved issues go</t>
        </is>
      </c>
      <c r="C14" s="5" t="n"/>
      <c r="D14" s="4" t="inlineStr">
        <is>
          <t>Executive committee; funding through its investment committee</t>
        </is>
      </c>
    </row>
    <row r="15">
      <c r="A15" s="4" t="inlineStr">
        <is>
          <t>Cadence</t>
        </is>
      </c>
      <c r="B15" s="4" t="inlineStr">
        <is>
          <t>Meeting schedule</t>
        </is>
      </c>
      <c r="C15" s="5" t="n"/>
      <c r="D15" s="4" t="inlineStr">
        <is>
          <t>Review board every 2 weeks; health review monthly; portfolio review quarterly</t>
        </is>
      </c>
    </row>
    <row r="16">
      <c r="A16" s="4" t="inlineStr">
        <is>
          <t>Records</t>
        </is>
      </c>
      <c r="B16" s="4" t="inlineStr">
        <is>
          <t>Decision record format and storage</t>
        </is>
      </c>
      <c r="C16" s="5" t="n"/>
      <c r="D16" s="4" t="inlineStr">
        <is>
          <t>Decision, conditions, reasons, dissent, evidence, next review date</t>
        </is>
      </c>
    </row>
    <row r="17">
      <c r="A17" s="4" t="inlineStr">
        <is>
          <t>Performance targets</t>
        </is>
      </c>
      <c r="B17" s="4" t="inlineStr">
        <is>
          <t>How the review board is measured</t>
        </is>
      </c>
      <c r="C17" s="5" t="n"/>
      <c r="D17" s="4" t="inlineStr">
        <is>
          <t>The six board measures in Chapter 14</t>
        </is>
      </c>
    </row>
    <row r="18">
      <c r="A18" s="4" t="inlineStr">
        <is>
          <t>Charter review</t>
        </is>
      </c>
      <c r="B18" s="4" t="inlineStr">
        <is>
          <t>When the charter is reviewed</t>
        </is>
      </c>
      <c r="C18" s="5" t="n"/>
      <c r="D18" s="4" t="inlineStr">
        <is>
          <t>Annually, or after any Sev 1 incident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62" customWidth="1" min="1" max="1"/>
    <col width="12" customWidth="1" min="2" max="2"/>
    <col width="14" customWidth="1" min="3" max="3"/>
    <col width="40" customWidth="1" min="4" max="4"/>
  </cols>
  <sheetData>
    <row r="1">
      <c r="A1" s="1" t="inlineStr">
        <is>
          <t>Discovery checklist (Chapter 3)</t>
        </is>
      </c>
    </row>
    <row r="2">
      <c r="A2" s="2" t="inlineStr">
        <is>
          <t>Run quarterly. Coverage = registered AI systems divided by discovered AI systems; the target is 95 percent or higher.</t>
        </is>
      </c>
    </row>
    <row r="4">
      <c r="A4" s="12" t="inlineStr">
        <is>
          <t>Discovery sweep</t>
        </is>
      </c>
    </row>
    <row r="5" ht="30" customHeight="1">
      <c r="A5" s="3" t="inlineStr">
        <is>
          <t>Check</t>
        </is>
      </c>
      <c r="B5" s="3" t="inlineStr">
        <is>
          <t>Done?</t>
        </is>
      </c>
      <c r="C5" s="3" t="inlineStr">
        <is>
          <t>Date</t>
        </is>
      </c>
      <c r="D5" s="3" t="inlineStr">
        <is>
          <t>Notes</t>
        </is>
      </c>
    </row>
    <row r="6">
      <c r="A6" s="4" t="inlineStr">
        <is>
          <t>Invoices and accounts payable searched for AI vendors.</t>
        </is>
      </c>
      <c r="B6" s="5" t="n"/>
      <c r="C6" s="5" t="n"/>
      <c r="D6" s="5" t="n"/>
    </row>
    <row r="7">
      <c r="A7" s="4" t="inlineStr">
        <is>
          <t>Corporate card and expense records searched.</t>
        </is>
      </c>
      <c r="B7" s="5" t="n"/>
      <c r="C7" s="5" t="n"/>
      <c r="D7" s="5" t="n"/>
    </row>
    <row r="8">
      <c r="A8" s="4" t="inlineStr">
        <is>
          <t>New and renewed contracts checked for AI features.</t>
        </is>
      </c>
      <c r="B8" s="5" t="n"/>
      <c r="C8" s="5" t="n"/>
      <c r="D8" s="5" t="n"/>
    </row>
    <row r="9">
      <c r="A9" s="4" t="inlineStr">
        <is>
          <t>Single sign-on application authorizations reviewed.</t>
        </is>
      </c>
      <c r="B9" s="5" t="n"/>
      <c r="C9" s="5" t="n"/>
      <c r="D9" s="5" t="n"/>
    </row>
    <row r="10">
      <c r="A10" s="4" t="inlineStr">
        <is>
          <t>Network and proxy logs checked for traffic to AI services.</t>
        </is>
      </c>
      <c r="B10" s="5" t="n"/>
      <c r="C10" s="5" t="n"/>
      <c r="D10" s="5" t="n"/>
    </row>
    <row r="11">
      <c r="A11" s="4" t="inlineStr">
        <is>
          <t>Cloud accounts scanned for AI services.</t>
        </is>
      </c>
      <c r="B11" s="5" t="n"/>
      <c r="C11" s="5" t="n"/>
      <c r="D11" s="5" t="n"/>
    </row>
    <row r="12">
      <c r="A12" s="4" t="inlineStr">
        <is>
          <t>Release notes of major software platforms reviewed for new AI features.</t>
        </is>
      </c>
      <c r="B12" s="5" t="n"/>
      <c r="C12" s="5" t="n"/>
      <c r="D12" s="5" t="n"/>
    </row>
    <row r="13">
      <c r="A13" s="4" t="inlineStr">
        <is>
          <t>Gateway access keys matched to inventory entries.</t>
        </is>
      </c>
      <c r="B13" s="5" t="n"/>
      <c r="C13" s="5" t="n"/>
      <c r="D13" s="5" t="n"/>
    </row>
    <row r="14">
      <c r="A14" s="4" t="inlineStr">
        <is>
          <t>Coverage calculated and reported; gaps assigned to an owner with a date.</t>
        </is>
      </c>
      <c r="B14" s="5" t="n"/>
      <c r="C14" s="5" t="n"/>
      <c r="D14" s="5" t="n"/>
    </row>
  </sheetData>
  <dataValidations count="1">
    <dataValidation sqref="B6:B14" showDropDown="0" showInputMessage="0" showErrorMessage="0" allowBlank="1"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4"/>
  <sheetViews>
    <sheetView showGridLines="0" workbookViewId="0">
      <selection activeCell="A1" sqref="A1"/>
    </sheetView>
  </sheetViews>
  <sheetFormatPr baseColWidth="8" defaultRowHeight="15"/>
  <cols>
    <col width="62" customWidth="1" min="1" max="1"/>
    <col width="26" customWidth="1" min="2" max="2"/>
    <col width="46" customWidth="1" min="3" max="3"/>
  </cols>
  <sheetData>
    <row r="1">
      <c r="A1" s="1" t="inlineStr">
        <is>
          <t>Gateway controls and model selection (Chapter 5)</t>
        </is>
      </c>
    </row>
    <row r="2">
      <c r="A2" s="2" t="inlineStr">
        <is>
          <t>One checklist per use case. Where a control lives outside the gateway, record where in the notes: vendor settings, identity, data-loss prevention, contract or platform logs.</t>
        </is>
      </c>
    </row>
    <row r="4">
      <c r="A4" s="12" t="inlineStr">
        <is>
          <t>Gateway control checklist (per use case)</t>
        </is>
      </c>
    </row>
    <row r="5" ht="30" customHeight="1">
      <c r="A5" s="3" t="inlineStr">
        <is>
          <t>Control</t>
        </is>
      </c>
      <c r="B5" s="3" t="inlineStr">
        <is>
          <t>In place?</t>
        </is>
      </c>
      <c r="C5" s="3" t="inlineStr">
        <is>
          <t>Notes</t>
        </is>
      </c>
    </row>
    <row r="6">
      <c r="A6" s="4" t="inlineStr">
        <is>
          <t>Inventory number tagged on every call</t>
        </is>
      </c>
      <c r="B6" s="5" t="n"/>
      <c r="C6" s="5" t="n"/>
    </row>
    <row r="7">
      <c r="A7" s="4" t="inlineStr">
        <is>
          <t>Personal and financial identifier patterns: redact or block</t>
        </is>
      </c>
      <c r="B7" s="5" t="n"/>
      <c r="C7" s="5" t="n"/>
    </row>
    <row r="8">
      <c r="A8" s="4" t="inlineStr">
        <is>
          <t>Prompt injection screening on inputs and retrieved content</t>
        </is>
      </c>
      <c r="B8" s="5" t="n"/>
      <c r="C8" s="5" t="n"/>
    </row>
    <row r="9">
      <c r="A9" s="4" t="inlineStr">
        <is>
          <t>Exact cases handled by rules before any model</t>
        </is>
      </c>
      <c r="B9" s="5" t="n"/>
      <c r="C9" s="5" t="n"/>
    </row>
    <row r="10">
      <c r="A10" s="4" t="inlineStr">
        <is>
          <t>Approved model class; backup model pinned and passed the test set</t>
        </is>
      </c>
      <c r="B10" s="5" t="n"/>
      <c r="C10" s="5" t="n"/>
    </row>
    <row r="11">
      <c r="A11" s="4" t="inlineStr">
        <is>
          <t>Prompt templates versioned; fixed portion cached</t>
        </is>
      </c>
      <c r="B11" s="5" t="n"/>
      <c r="C11" s="5" t="n"/>
    </row>
    <row r="12">
      <c r="A12" s="4" t="inlineStr">
        <is>
          <t>Retrieval limited to user entitlements</t>
        </is>
      </c>
      <c r="B12" s="5" t="n"/>
      <c r="C12" s="5" t="n"/>
    </row>
    <row r="13">
      <c r="A13" s="4" t="inlineStr">
        <is>
          <t>Tools from approved catalog only; inputs validated; read-only by default</t>
        </is>
      </c>
      <c r="B13" s="5" t="n"/>
      <c r="C13" s="5" t="n"/>
    </row>
    <row r="14">
      <c r="A14" s="4" t="inlineStr">
        <is>
          <t>Output format validated</t>
        </is>
      </c>
      <c r="B14" s="5" t="n"/>
      <c r="C14" s="5" t="n"/>
    </row>
    <row r="15">
      <c r="A15" s="4" t="inlineStr">
        <is>
          <t>Grounding check for document-based answers</t>
        </is>
      </c>
      <c r="B15" s="5" t="n"/>
      <c r="C15" s="5" t="n"/>
    </row>
    <row r="16">
      <c r="A16" s="4" t="inlineStr">
        <is>
          <t>Output checks: hold or stream decision recorded</t>
        </is>
      </c>
      <c r="B16" s="5" t="n"/>
      <c r="C16" s="5" t="n"/>
    </row>
    <row r="17">
      <c r="A17" s="4" t="inlineStr">
        <is>
          <t>Document sources: owner, effective and expiry dates, versions, freshness check</t>
        </is>
      </c>
      <c r="B17" s="5" t="n"/>
      <c r="C17" s="5" t="n"/>
    </row>
    <row r="18">
      <c r="A18" s="4" t="inlineStr">
        <is>
          <t>Personal-data scan before display</t>
        </is>
      </c>
      <c r="B18" s="5" t="n"/>
      <c r="C18" s="5" t="n"/>
    </row>
    <row r="19">
      <c r="A19" s="4" t="inlineStr">
        <is>
          <t>Full trace, tokens, cost, response time, and errors logged</t>
        </is>
      </c>
      <c r="B19" s="5" t="n"/>
      <c r="C19" s="5" t="n"/>
    </row>
    <row r="20">
      <c r="A20" s="4" t="inlineStr">
        <is>
          <t>Model version pinned; test set run on every change</t>
        </is>
      </c>
      <c r="B20" s="5" t="n"/>
      <c r="C20" s="5" t="n"/>
    </row>
    <row r="22">
      <c r="A22" s="12" t="inlineStr">
        <is>
          <t>Model selection record</t>
        </is>
      </c>
    </row>
    <row r="23" ht="30" customHeight="1">
      <c r="A23" s="3" t="inlineStr">
        <is>
          <t>Item</t>
        </is>
      </c>
      <c r="B23" s="3" t="inlineStr">
        <is>
          <t>Guidance</t>
        </is>
      </c>
      <c r="C23" s="3" t="inlineStr">
        <is>
          <t>Entry</t>
        </is>
      </c>
    </row>
    <row r="24">
      <c r="A24" s="4" t="inlineStr">
        <is>
          <t>Use case and inventory number</t>
        </is>
      </c>
      <c r="B24" s="4" t="inlineStr"/>
      <c r="C24" s="5" t="n"/>
    </row>
    <row r="25">
      <c r="A25" s="4" t="inlineStr">
        <is>
          <t>Task type (classify, extract, summarize, answer, plan)</t>
        </is>
      </c>
      <c r="B25" s="4" t="inlineStr"/>
      <c r="C25" s="5" t="n"/>
    </row>
    <row r="26">
      <c r="A26" s="4" t="inlineStr">
        <is>
          <t>Test set and approved threshold</t>
        </is>
      </c>
      <c r="B26" s="4" t="inlineStr"/>
      <c r="C26" s="5" t="n"/>
    </row>
    <row r="27">
      <c r="A27" s="4" t="inlineStr">
        <is>
          <t>Model classes tested, with accuracy for each</t>
        </is>
      </c>
      <c r="B27" s="4" t="inlineStr"/>
      <c r="C27" s="5" t="n"/>
    </row>
    <row r="28">
      <c r="A28" s="4" t="inlineStr">
        <is>
          <t>Cost per task and response time for each model class tested</t>
        </is>
      </c>
      <c r="B28" s="4" t="inlineStr"/>
      <c r="C28" s="5" t="n"/>
    </row>
    <row r="29">
      <c r="A29" s="4" t="inlineStr">
        <is>
          <t>Selected class, model, and pinned version</t>
        </is>
      </c>
      <c r="B29" s="4" t="inlineStr"/>
      <c r="C29" s="5" t="n"/>
    </row>
    <row r="30">
      <c r="A30" s="4" t="inlineStr">
        <is>
          <t>Reason a lower class was not chosen</t>
        </is>
      </c>
      <c r="B30" s="4" t="inlineStr"/>
      <c r="C30" s="5" t="n"/>
    </row>
    <row r="31">
      <c r="A31" s="4" t="inlineStr">
        <is>
          <t>Data terms confirmed (agreement, training, retention)</t>
        </is>
      </c>
      <c r="B31" s="4" t="inlineStr"/>
      <c r="C31" s="5" t="n"/>
    </row>
    <row r="32">
      <c r="A32" s="4" t="inlineStr">
        <is>
          <t>Hosting location and residency</t>
        </is>
      </c>
      <c r="B32" s="4" t="inlineStr"/>
      <c r="C32" s="5" t="n"/>
    </row>
    <row r="33">
      <c r="A33" s="4" t="inlineStr">
        <is>
          <t>Cost techniques applied</t>
        </is>
      </c>
      <c r="B33" s="4" t="inlineStr"/>
      <c r="C33" s="5" t="n"/>
    </row>
    <row r="34">
      <c r="A34" s="4" t="inlineStr">
        <is>
          <t>Approved by and date</t>
        </is>
      </c>
      <c r="B34" s="4" t="inlineStr"/>
      <c r="C34" s="5" t="n"/>
    </row>
  </sheetData>
  <dataValidations count="1">
    <dataValidation sqref="B6:B20" showDropDown="0" showInputMessage="0" showErrorMessage="0" allowBlank="1" type="list">
      <formula1>"Enforced,Verified,Contract only,Gap"</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62" customWidth="1" min="1" max="1"/>
    <col width="26" customWidth="1" min="2" max="2"/>
    <col width="46" customWidth="1" min="3" max="3"/>
    <col width="30" customWidth="1" min="4" max="4"/>
  </cols>
  <sheetData>
    <row r="1">
      <c r="A1" s="1" t="inlineStr">
        <is>
          <t>Agent approval record (Chapter 6)</t>
        </is>
      </c>
    </row>
    <row r="2">
      <c r="A2" s="2" t="inlineStr">
        <is>
          <t>Levels 1 and 2 can be approved at intake; Level 3 is earned after two clean periods at Level 2. Recommend-only is fixed at approval for irreversible actions on people or money.</t>
        </is>
      </c>
    </row>
    <row r="4" ht="30" customHeight="1">
      <c r="A4" s="3" t="inlineStr">
        <is>
          <t>Item</t>
        </is>
      </c>
      <c r="B4" s="3" t="inlineStr">
        <is>
          <t>Guidance</t>
        </is>
      </c>
      <c r="C4" s="3" t="inlineStr">
        <is>
          <t>Entry</t>
        </is>
      </c>
    </row>
    <row r="5">
      <c r="A5" s="4" t="inlineStr">
        <is>
          <t>Agent name and inventory number</t>
        </is>
      </c>
      <c r="B5" s="4" t="inlineStr"/>
      <c r="C5" s="5" t="n"/>
    </row>
    <row r="6">
      <c r="A6" s="4" t="inlineStr">
        <is>
          <t>Business owner and technical owner</t>
        </is>
      </c>
      <c r="B6" s="4" t="inlineStr"/>
      <c r="C6" s="5" t="n"/>
    </row>
    <row r="7">
      <c r="A7" s="4" t="inlineStr">
        <is>
          <t>Agent identity and systems it can access</t>
        </is>
      </c>
      <c r="B7" s="4" t="inlineStr"/>
      <c r="C7" s="5" t="n"/>
    </row>
    <row r="8">
      <c r="A8" s="4" t="inlineStr">
        <is>
          <t>Acts for users? Whose rights apply; actions needing more than the user’s rights</t>
        </is>
      </c>
      <c r="B8" s="4" t="inlineStr"/>
      <c r="C8" s="5" t="n"/>
    </row>
    <row r="9">
      <c r="A9" s="4" t="inlineStr">
        <is>
          <t>Tool servers used, and tools allowed from each</t>
        </is>
      </c>
      <c r="B9" s="4" t="inlineStr"/>
      <c r="C9" s="5" t="n"/>
    </row>
    <row r="10">
      <c r="A10" s="4" t="inlineStr">
        <is>
          <t>Action types, with autonomy level for each</t>
        </is>
      </c>
      <c r="B10" s="4" t="inlineStr"/>
      <c r="C10" s="5" t="n"/>
    </row>
    <row r="11">
      <c r="A11" s="4" t="inlineStr">
        <is>
          <t>Tools allowed for each action type</t>
        </is>
      </c>
      <c r="B11" s="4" t="inlineStr"/>
      <c r="C11" s="5" t="n"/>
    </row>
    <row r="12">
      <c r="A12" s="4" t="inlineStr">
        <is>
          <t>Limits: steps per task, actions per day, spend per day</t>
        </is>
      </c>
      <c r="B12" s="4" t="inlineStr"/>
      <c r="C12" s="5" t="n"/>
    </row>
    <row r="13">
      <c r="A13" s="4" t="inlineStr">
        <is>
          <t>Reads external content, such as email, customer uploads or web pages? (If yes, no write access)</t>
        </is>
      </c>
      <c r="B13" s="4" t="inlineStr">
        <is>
          <t>Yes / No</t>
        </is>
      </c>
      <c r="C13" s="5" t="n"/>
    </row>
    <row r="14">
      <c r="A14" s="4" t="inlineStr">
        <is>
          <t>Memory: what is stored, and for how long</t>
        </is>
      </c>
      <c r="B14" s="4" t="inlineStr"/>
      <c r="C14" s="5" t="n"/>
    </row>
    <row r="15">
      <c r="A15" s="4" t="inlineStr">
        <is>
          <t>Checkpoints required before which actions</t>
        </is>
      </c>
      <c r="B15" s="4" t="inlineStr"/>
      <c r="C15" s="5" t="n"/>
    </row>
    <row r="16">
      <c r="A16" s="4" t="inlineStr">
        <is>
          <t>Handoff triggers and handoff summary format</t>
        </is>
      </c>
      <c r="B16" s="4" t="inlineStr"/>
      <c r="C16" s="5" t="n"/>
    </row>
    <row r="17">
      <c r="A17" s="4" t="inlineStr">
        <is>
          <t>Reversal procedure tested (date)</t>
        </is>
      </c>
      <c r="B17" s="4" t="inlineStr"/>
      <c r="C17" s="5" t="n"/>
    </row>
    <row r="18">
      <c r="A18" s="4" t="inlineStr">
        <is>
          <t>Critical errors defined</t>
        </is>
      </c>
      <c r="B18" s="4" t="inlineStr"/>
      <c r="C18" s="5" t="n"/>
    </row>
    <row r="19">
      <c r="A19" s="4" t="inlineStr">
        <is>
          <t>Measures: steps per task; actions reversed or blocked; plus five tests</t>
        </is>
      </c>
      <c r="B19" s="4" t="inlineStr"/>
      <c r="C19" s="5" t="n"/>
    </row>
    <row r="20">
      <c r="A20" s="4" t="inlineStr">
        <is>
          <t>Promotion criteria and step-down rule</t>
        </is>
      </c>
      <c r="B20" s="4" t="inlineStr"/>
      <c r="C20" s="5" t="n"/>
    </row>
    <row r="21">
      <c r="A21" s="4" t="inlineStr">
        <is>
          <t>Kill switch tested (date)</t>
        </is>
      </c>
      <c r="B21" s="4" t="inlineStr"/>
      <c r="C21" s="5" t="n"/>
    </row>
    <row r="22">
      <c r="A22" s="4" t="inlineStr">
        <is>
          <t>Approved by, date, and next review</t>
        </is>
      </c>
      <c r="B22" s="4" t="inlineStr"/>
      <c r="C22" s="5" t="n"/>
    </row>
    <row r="25">
      <c r="A25" s="12" t="inlineStr">
        <is>
          <t>Promotion checklist</t>
        </is>
      </c>
    </row>
    <row r="26" ht="30" customHeight="1">
      <c r="A26" s="3" t="inlineStr">
        <is>
          <t>Check</t>
        </is>
      </c>
      <c r="B26" s="3" t="inlineStr">
        <is>
          <t>Met?</t>
        </is>
      </c>
      <c r="C26" s="3" t="inlineStr">
        <is>
          <t>Date</t>
        </is>
      </c>
      <c r="D26" s="3" t="inlineStr">
        <is>
          <t>Notes</t>
        </is>
      </c>
    </row>
    <row r="27">
      <c r="A27" s="4" t="inlineStr">
        <is>
          <t>Two consecutive review periods within all limits at the current level.</t>
        </is>
      </c>
      <c r="B27" s="5" t="n"/>
      <c r="C27" s="5" t="n"/>
      <c r="D27" s="5" t="n"/>
    </row>
    <row r="28">
      <c r="A28" s="4" t="inlineStr">
        <is>
          <t>No critical errors in either period.</t>
        </is>
      </c>
      <c r="B28" s="5" t="n"/>
      <c r="C28" s="5" t="n"/>
      <c r="D28" s="5" t="n"/>
    </row>
    <row r="29">
      <c r="A29" s="4" t="inlineStr">
        <is>
          <t>Steps per task and actions reversed or blocked stable or improving.</t>
        </is>
      </c>
      <c r="B29" s="5" t="n"/>
      <c r="C29" s="5" t="n"/>
      <c r="D29" s="5" t="n"/>
    </row>
    <row r="30">
      <c r="A30" s="4" t="inlineStr">
        <is>
          <t>Reversal procedure tested for the new level (if moving to Level 3). Recommend-only is fixed at approval and is not a promotion.</t>
        </is>
      </c>
      <c r="B30" s="5" t="n"/>
      <c r="C30" s="5" t="n"/>
      <c r="D30" s="5" t="n"/>
    </row>
    <row r="31">
      <c r="A31" s="4" t="inlineStr">
        <is>
          <t>Threshold sheet updated with limits for the new level.</t>
        </is>
      </c>
      <c r="B31" s="5" t="n"/>
      <c r="C31" s="5" t="n"/>
      <c r="D31" s="5" t="n"/>
    </row>
    <row r="32">
      <c r="A32" s="4" t="inlineStr">
        <is>
          <t>Review board decision recorded, with the scope of the promotion stated by action type.</t>
        </is>
      </c>
      <c r="B32" s="5" t="n"/>
      <c r="C32" s="5" t="n"/>
      <c r="D32" s="5" t="n"/>
    </row>
  </sheetData>
  <dataValidations count="1">
    <dataValidation sqref="B27:B32" showDropDown="0" showInputMessage="0" showErrorMessage="0" allowBlank="1" type="list">
      <formula1>"Yes,No"</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62" customWidth="1" min="1" max="1"/>
    <col width="40" customWidth="1" min="2" max="2"/>
    <col width="46" customWidth="1" min="3" max="3"/>
  </cols>
  <sheetData>
    <row r="1">
      <c r="A1" s="1" t="inlineStr">
        <is>
          <t>Quality measurement plan (Chapter 8)</t>
        </is>
      </c>
    </row>
    <row r="2">
      <c r="A2" s="2" t="inlineStr">
        <is>
          <t>Sampling ranges use the 95 percent Wilson score interval by default. Grader calibration is a minimum condition, not proof of reliability.</t>
        </is>
      </c>
    </row>
    <row r="4" ht="30" customHeight="1">
      <c r="A4" s="3" t="inlineStr">
        <is>
          <t>Item</t>
        </is>
      </c>
      <c r="B4" s="3" t="inlineStr">
        <is>
          <t>Guidance</t>
        </is>
      </c>
      <c r="C4" s="3" t="inlineStr">
        <is>
          <t>Entry</t>
        </is>
      </c>
    </row>
    <row r="5">
      <c r="A5" s="4" t="inlineStr">
        <is>
          <t>Use case and inventory number</t>
        </is>
      </c>
      <c r="B5" s="4" t="inlineStr"/>
      <c r="C5" s="5" t="n"/>
    </row>
    <row r="6">
      <c r="A6" s="4" t="inlineStr">
        <is>
          <t>Test set: size, composition, and who approved the answers</t>
        </is>
      </c>
      <c r="B6" s="4" t="inlineStr"/>
      <c r="C6" s="5" t="n"/>
    </row>
    <row r="7">
      <c r="A7" s="4" t="inlineStr">
        <is>
          <t>Test set: run triggers (every change; monthly) and refresh date</t>
        </is>
      </c>
      <c r="B7" s="4" t="inlineStr"/>
      <c r="C7" s="5" t="n"/>
    </row>
    <row r="8">
      <c r="A8" s="4" t="inlineStr">
        <is>
          <t>Live sample: size and frequency for the tier, and stratification by topic</t>
        </is>
      </c>
      <c r="B8" s="4" t="inlineStr"/>
      <c r="C8" s="5" t="n"/>
    </row>
    <row r="9">
      <c r="A9" s="4" t="inlineStr">
        <is>
          <t>Minimum samples for high-risk topics</t>
        </is>
      </c>
      <c r="B9" s="4" t="inlineStr"/>
      <c r="C9" s="5" t="n"/>
    </row>
    <row r="10">
      <c r="A10" s="4" t="inlineStr">
        <is>
          <t>Reviewers (names or team) and confirmation they are independent</t>
        </is>
      </c>
      <c r="B10" s="4" t="inlineStr"/>
      <c r="C10" s="5" t="n"/>
    </row>
    <row r="11">
      <c r="A11" s="4" t="inlineStr">
        <is>
          <t>Scoring guide version; definition of acceptable</t>
        </is>
      </c>
      <c r="B11" s="4" t="inlineStr">
        <is>
          <t>Passes correct, complete, grounded, safe</t>
        </is>
      </c>
      <c r="C11" s="5" t="n"/>
    </row>
    <row r="12">
      <c r="A12" s="4" t="inlineStr">
        <is>
          <t>Double-scoring: at least 50 items, pooled if needed; agreement target</t>
        </is>
      </c>
      <c r="B12" s="4" t="inlineStr">
        <is>
          <t>Kappa 0.6 or more, with percentage</t>
        </is>
      </c>
      <c r="C12" s="5" t="n"/>
    </row>
    <row r="13">
      <c r="A13" s="4" t="inlineStr">
        <is>
          <t>Automated grader: scope, calibration date, agreement with humans</t>
        </is>
      </c>
      <c r="B13" s="4" t="inlineStr">
        <is>
          <t>Decides status only at kappa 0.6 or more</t>
        </is>
      </c>
      <c r="C13" s="5" t="n"/>
    </row>
    <row r="14">
      <c r="A14" s="4" t="inlineStr">
        <is>
          <t>Critical, major, and minor errors defined for this use case</t>
        </is>
      </c>
      <c r="B14" s="4" t="inlineStr"/>
      <c r="C14" s="5" t="n"/>
    </row>
    <row r="15">
      <c r="A15" s="4" t="inlineStr">
        <is>
          <t>Segment limits (if any)</t>
        </is>
      </c>
      <c r="B15" s="4" t="inlineStr"/>
      <c r="C15" s="5" t="n"/>
    </row>
    <row r="16">
      <c r="A16" s="4" t="inlineStr">
        <is>
          <t>Safety signals monitored (identifier blocks, injection attempts, output scan)</t>
        </is>
      </c>
      <c r="B16" s="4" t="inlineStr"/>
      <c r="C16" s="5" t="n"/>
    </row>
    <row r="17">
      <c r="A17" s="4" t="inlineStr">
        <is>
          <t>Bias testing scope and schedule (High tier)</t>
        </is>
      </c>
      <c r="B17" s="4" t="inlineStr"/>
      <c r="C17" s="5" t="n"/>
    </row>
    <row r="18">
      <c r="A18" s="4" t="inlineStr">
        <is>
          <t>Where results are recorded and who confirms them</t>
        </is>
      </c>
      <c r="B18" s="4" t="inlineStr"/>
      <c r="C18" s="5"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62" customWidth="1" min="1" max="1"/>
    <col width="40" customWidth="1" min="2" max="2"/>
    <col width="46" customWidth="1" min="3" max="3"/>
  </cols>
  <sheetData>
    <row r="1">
      <c r="A1" s="1" t="inlineStr">
        <is>
          <t>Value measurement plan (Chapter 9)</t>
        </is>
      </c>
    </row>
    <row r="2">
      <c r="A2" s="2" t="inlineStr">
        <is>
          <t>Value counts as realized only when Finance confirms it, net of full running cost. Mandatory investments are scored on meeting the obligation.</t>
        </is>
      </c>
    </row>
    <row r="4" ht="30" customHeight="1">
      <c r="A4" s="3" t="inlineStr">
        <is>
          <t>Item</t>
        </is>
      </c>
      <c r="B4" s="3" t="inlineStr">
        <is>
          <t>Guidance</t>
        </is>
      </c>
      <c r="C4" s="3" t="inlineStr">
        <is>
          <t>Entry</t>
        </is>
      </c>
    </row>
    <row r="5">
      <c r="A5" s="4" t="inlineStr">
        <is>
          <t>Use case and inventory number</t>
        </is>
      </c>
      <c r="B5" s="4" t="inlineStr"/>
      <c r="C5" s="5" t="n"/>
    </row>
    <row r="6">
      <c r="A6" s="4" t="inlineStr">
        <is>
          <t>Benefit types (time, errors, revenue, recoveries, risk)</t>
        </is>
      </c>
      <c r="B6" s="4" t="inlineStr"/>
      <c r="C6" s="5" t="n"/>
    </row>
    <row r="7">
      <c r="A7" s="4" t="inlineStr">
        <is>
          <t>Baseline period (4–8 weeks) and dates</t>
        </is>
      </c>
      <c r="B7" s="4" t="inlineStr"/>
      <c r="C7" s="5" t="n"/>
    </row>
    <row r="8">
      <c r="A8" s="4" t="inlineStr">
        <is>
          <t>Baseline: time per task, error rate, volume by type</t>
        </is>
      </c>
      <c r="B8" s="4" t="inlineStr"/>
      <c r="C8" s="5" t="n"/>
    </row>
    <row r="9">
      <c r="A9" s="4" t="inlineStr">
        <is>
          <t>Comparison method (control group or adjusted before-and-after)</t>
        </is>
      </c>
      <c r="B9" s="4" t="inlineStr"/>
      <c r="C9" s="5" t="n"/>
    </row>
    <row r="10">
      <c r="A10" s="4" t="inlineStr">
        <is>
          <t>Control group description and matching</t>
        </is>
      </c>
      <c r="B10" s="4" t="inlineStr"/>
      <c r="C10" s="5" t="n"/>
    </row>
    <row r="11">
      <c r="A11" s="4" t="inlineStr">
        <is>
          <t>Calculation formula and adoption adjustment</t>
        </is>
      </c>
      <c r="B11" s="4" t="inlineStr"/>
      <c r="C11" s="5" t="n"/>
    </row>
    <row r="12">
      <c r="A12" s="4" t="inlineStr">
        <is>
          <t>Loaded cost per hour (agreed with Finance)</t>
        </is>
      </c>
      <c r="B12" s="4" t="inlineStr"/>
      <c r="C12" s="5" t="n"/>
    </row>
    <row r="13">
      <c r="A13" s="4" t="inlineStr">
        <is>
          <t>One-time cost (Explore, Pilot, build, integration) and expected payback</t>
        </is>
      </c>
      <c r="B13" s="4" t="inlineStr"/>
      <c r="C13" s="5" t="n"/>
    </row>
    <row r="14">
      <c r="A14" s="4" t="inlineStr">
        <is>
          <t>Process changes required, owner, and date</t>
        </is>
      </c>
      <c r="B14" s="4" t="inlineStr"/>
      <c r="C14" s="5" t="n"/>
    </row>
    <row r="15">
      <c r="A15" s="4" t="inlineStr">
        <is>
          <t>Expected classification: harvested, redeployed, unharvested</t>
        </is>
      </c>
      <c r="B15" s="4" t="inlineStr"/>
      <c r="C15" s="5" t="n"/>
    </row>
    <row r="16">
      <c r="A16" s="4" t="inlineStr">
        <is>
          <t>Named work for redeployed capacity and how its output is measured</t>
        </is>
      </c>
      <c r="B16" s="4" t="inlineStr"/>
      <c r="C16" s="5" t="n"/>
    </row>
    <row r="17">
      <c r="A17" s="4" t="inlineStr">
        <is>
          <t>Finance contact and quarterly confirmation dates</t>
        </is>
      </c>
      <c r="B17" s="4" t="inlineStr"/>
      <c r="C17" s="5" t="n"/>
    </row>
    <row r="18">
      <c r="A18" s="4" t="inlineStr">
        <is>
          <t>Current confidence level (modeled, measured, realized)</t>
        </is>
      </c>
      <c r="B18" s="4" t="inlineStr"/>
      <c r="C18" s="5"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62" customWidth="1" min="1" max="1"/>
    <col width="40" customWidth="1" min="2" max="2"/>
    <col width="46" customWidth="1" min="3" max="3"/>
  </cols>
  <sheetData>
    <row r="1">
      <c r="A1" s="1" t="inlineStr">
        <is>
          <t>Recovery plan and incident record (Chapter 12)</t>
        </is>
      </c>
    </row>
    <row r="2">
      <c r="A2" s="2" t="inlineStr">
        <is>
          <t>A recovery plan is due within 5 business days of Amber. A third consecutive decline is Red, whether or not a recovery plan exists.</t>
        </is>
      </c>
    </row>
    <row r="4">
      <c r="A4" s="12" t="inlineStr">
        <is>
          <t>Recovery plan</t>
        </is>
      </c>
    </row>
    <row r="5" ht="30" customHeight="1">
      <c r="A5" s="3" t="inlineStr">
        <is>
          <t>Item</t>
        </is>
      </c>
      <c r="B5" s="3" t="inlineStr">
        <is>
          <t>Guidance</t>
        </is>
      </c>
      <c r="C5" s="3" t="inlineStr">
        <is>
          <t>Entry</t>
        </is>
      </c>
    </row>
    <row r="6">
      <c r="A6" s="4" t="inlineStr">
        <is>
          <t>Use case and inventory number</t>
        </is>
      </c>
      <c r="B6" s="4" t="inlineStr"/>
      <c r="C6" s="5" t="n"/>
    </row>
    <row r="7">
      <c r="A7" s="4" t="inlineStr">
        <is>
          <t>Status and rule triggered (date)</t>
        </is>
      </c>
      <c r="B7" s="4" t="inlineStr"/>
      <c r="C7" s="5" t="n"/>
    </row>
    <row r="8">
      <c r="A8" s="4" t="inlineStr">
        <is>
          <t>Cause (or work to find it)</t>
        </is>
      </c>
      <c r="B8" s="4" t="inlineStr"/>
      <c r="C8" s="5" t="n"/>
    </row>
    <row r="9">
      <c r="A9" s="4" t="inlineStr">
        <is>
          <t>Actions, each with owner and date</t>
        </is>
      </c>
      <c r="B9" s="4" t="inlineStr"/>
      <c r="C9" s="5" t="n"/>
    </row>
    <row r="10">
      <c r="A10" s="4" t="inlineStr">
        <is>
          <t>Measures that will show the fix worked</t>
        </is>
      </c>
      <c r="B10" s="4" t="inlineStr"/>
      <c r="C10" s="5" t="n"/>
    </row>
    <row r="11">
      <c r="A11" s="4" t="inlineStr">
        <is>
          <t>Target date to meet limits</t>
        </is>
      </c>
      <c r="B11" s="4" t="inlineStr"/>
      <c r="C11" s="5" t="n"/>
    </row>
    <row r="12">
      <c r="A12" s="4" t="inlineStr">
        <is>
          <t>Five conditions: root cause; fix tested; live results hold (2 periods); signals stable; governance lead confirms</t>
        </is>
      </c>
      <c r="B12" s="4" t="inlineStr">
        <is>
          <t>Date each met</t>
        </is>
      </c>
      <c r="C12" s="5" t="n"/>
    </row>
    <row r="13">
      <c r="A13" s="4" t="inlineStr">
        <is>
          <t>Escalation date if target is missed</t>
        </is>
      </c>
      <c r="B13" s="4" t="inlineStr"/>
      <c r="C13" s="5" t="n"/>
    </row>
    <row r="16">
      <c r="A16" s="12" t="inlineStr">
        <is>
          <t>Incident record</t>
        </is>
      </c>
    </row>
    <row r="17" ht="30" customHeight="1">
      <c r="A17" s="3" t="inlineStr">
        <is>
          <t>Item</t>
        </is>
      </c>
      <c r="B17" s="3" t="inlineStr">
        <is>
          <t>Guidance</t>
        </is>
      </c>
      <c r="C17" s="3" t="inlineStr">
        <is>
          <t>Entry</t>
        </is>
      </c>
    </row>
    <row r="18">
      <c r="A18" s="4" t="inlineStr">
        <is>
          <t>Incident number, use case, and severity</t>
        </is>
      </c>
      <c r="B18" s="4" t="inlineStr"/>
      <c r="C18" s="5" t="n"/>
    </row>
    <row r="19">
      <c r="A19" s="4" t="inlineStr">
        <is>
          <t>Time detected, and how</t>
        </is>
      </c>
      <c r="B19" s="4" t="inlineStr"/>
      <c r="C19" s="5" t="n"/>
    </row>
    <row r="20">
      <c r="A20" s="4" t="inlineStr">
        <is>
          <t>Containment action and time</t>
        </is>
      </c>
      <c r="B20" s="4" t="inlineStr"/>
      <c r="C20" s="5" t="n"/>
    </row>
    <row r="21">
      <c r="A21" s="4" t="inlineStr">
        <is>
          <t>Users notified (time)</t>
        </is>
      </c>
      <c r="B21" s="4" t="inlineStr"/>
      <c r="C21" s="5" t="n"/>
    </row>
    <row r="22">
      <c r="A22" s="4" t="inlineStr">
        <is>
          <t>Affected interactions and people identified</t>
        </is>
      </c>
      <c r="B22" s="4" t="inlineStr"/>
      <c r="C22" s="5" t="n"/>
    </row>
    <row r="23">
      <c r="A23" s="4" t="inlineStr">
        <is>
          <t>Corrections made and people contacted</t>
        </is>
      </c>
      <c r="B23" s="4" t="inlineStr"/>
      <c r="C23" s="5" t="n"/>
    </row>
    <row r="24">
      <c r="A24" s="4" t="inlineStr">
        <is>
          <t>Compliance decision on reporting</t>
        </is>
      </c>
      <c r="B24" s="4" t="inlineStr"/>
      <c r="C24" s="5" t="n"/>
    </row>
    <row r="25">
      <c r="A25" s="4" t="inlineStr">
        <is>
          <t>Root cause</t>
        </is>
      </c>
      <c r="B25" s="4" t="inlineStr"/>
      <c r="C25" s="5" t="n"/>
    </row>
    <row r="26">
      <c r="A26" s="4" t="inlineStr">
        <is>
          <t>Test cases added; test set result before re-enabling</t>
        </is>
      </c>
      <c r="B26" s="4" t="inlineStr"/>
      <c r="C26" s="5" t="n"/>
    </row>
    <row r="27">
      <c r="A27" s="4" t="inlineStr">
        <is>
          <t>Why detection took as long as it did</t>
        </is>
      </c>
      <c r="B27" s="4" t="inlineStr"/>
      <c r="C27" s="5" t="n"/>
    </row>
    <row r="28">
      <c r="A28" s="4" t="inlineStr">
        <is>
          <t>Monitoring and limit changes</t>
        </is>
      </c>
      <c r="B28" s="4" t="inlineStr"/>
      <c r="C28" s="5" t="n"/>
    </row>
    <row r="29">
      <c r="A29" s="4" t="inlineStr">
        <is>
          <t>Re-tiering or re-approval needed?</t>
        </is>
      </c>
      <c r="B29" s="4" t="inlineStr"/>
      <c r="C29" s="5" t="n"/>
    </row>
    <row r="30">
      <c r="A30" s="4" t="inlineStr">
        <is>
          <t>Closed by (governance lead) and date</t>
        </is>
      </c>
      <c r="B30" s="4" t="inlineStr"/>
      <c r="C30" s="5"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34" customWidth="1" min="1" max="1"/>
    <col width="90" customWidth="1" min="2" max="2"/>
  </cols>
  <sheetData>
    <row r="1">
      <c r="A1" s="1" t="inlineStr">
        <is>
          <t>Completed threshold sheet: customer service assistant (Chapter 11)</t>
        </is>
      </c>
    </row>
    <row r="2">
      <c r="A2" s="2" t="inlineStr">
        <is>
          <t>Completed example from Appendix A, for the fictional bank Fytvio. Use it as a guide to the level of detail; record your own in the blank template.</t>
        </is>
      </c>
    </row>
    <row r="4" ht="30" customHeight="1">
      <c r="A4" s="3" t="inlineStr">
        <is>
          <t>Item</t>
        </is>
      </c>
      <c r="B4" s="3" t="inlineStr">
        <is>
          <t>Entry</t>
        </is>
      </c>
    </row>
    <row r="5">
      <c r="A5" s="13" t="inlineStr">
        <is>
          <t>Use case</t>
        </is>
      </c>
      <c r="B5" s="4" t="inlineStr">
        <is>
          <t>Customer service assistant. High tier. Run stage.</t>
        </is>
      </c>
    </row>
    <row r="6">
      <c r="A6" s="13" t="inlineStr">
        <is>
          <t>Signatures</t>
        </is>
      </c>
      <c r="B6" s="4" t="inlineStr">
        <is>
          <t>Business owner (head of customer services) and AI governance lead, signed and dated. Review board approval recorded in its minutes.</t>
        </is>
      </c>
    </row>
    <row r="7">
      <c r="A7" s="13" t="inlineStr">
        <is>
          <t>Version</t>
        </is>
      </c>
      <c r="B7" s="4" t="inlineStr">
        <is>
          <t>Version 2. Re-approved after the test set was rebuilt (Chapter 8). Version 1 kept on file.</t>
        </is>
      </c>
    </row>
    <row r="8">
      <c r="A8" s="13" t="inlineStr">
        <is>
          <t>Exceptions in force</t>
        </is>
      </c>
      <c r="B8" s="4" t="inlineStr">
        <is>
          <t>None.</t>
        </is>
      </c>
    </row>
    <row r="9">
      <c r="A9" s="13" t="inlineStr">
        <is>
          <t>Critical errors reaching customers</t>
        </is>
      </c>
      <c r="B9" s="4" t="inlineStr">
        <is>
          <t>Hard constraint. Any one is Red, with no Amber band. Reason: the assistant is customer-facing and High tier. Source: live sample, complaints and grader flags, checked daily.</t>
        </is>
      </c>
    </row>
    <row r="10">
      <c r="A10" s="13" t="inlineStr">
        <is>
          <t>Live accuracy</t>
        </is>
      </c>
      <c r="B10" s="4" t="inlineStr">
        <is>
          <t>Performance limit. Green 90% or higher, Red below 86%. Reason: Green allows about two points of sampling variation below the 92% baseline; Red sits just below the bottom of the sampling range for 150 samples. Minimum sample 150 a month; minimum decline 2.5 points. Source: reviewer-scored live sample, monthly.</t>
        </is>
      </c>
    </row>
    <row r="11">
      <c r="A11" s="13" t="inlineStr">
        <is>
          <t>Test-set accuracy</t>
        </is>
      </c>
      <c r="B11" s="4" t="inlineStr">
        <is>
          <t>Performance limit. Green 92% or higher, Red below 89%. Reason: set from the 94% baseline on 400 cases. Source: evaluation service, on every change and monthly.</t>
        </is>
      </c>
    </row>
    <row r="12">
      <c r="A12" s="13" t="inlineStr">
        <is>
          <t>Share of eligible questions handled</t>
        </is>
      </c>
      <c r="B12" s="4" t="inlineStr">
        <is>
          <t>Performance limit. Green 70% or higher, Red below 52.5%. Reason: default limits, 75% of the 70% target for Red, not rounded. Source: contact center system, monthly.</t>
        </is>
      </c>
    </row>
    <row r="13">
      <c r="A13" s="13" t="inlineStr">
        <is>
          <t>Unit cost per conversation</t>
        </is>
      </c>
      <c r="B13" s="4" t="inlineStr">
        <is>
          <t>Performance limit. Green $0.198 or lower, Red above $0.225. Reason: default limits, 10% and 25% above the $0.18 plan. Source: cost metering, reconciled with the ledger monthly.</t>
        </is>
      </c>
    </row>
    <row r="14">
      <c r="A14" s="13" t="inlineStr">
        <is>
          <t>Response time</t>
        </is>
      </c>
      <c r="B14" s="4" t="inlineStr">
        <is>
          <t>Performance limit. 95% of answers within 4 seconds is Green; above 6 seconds is Red. Reason: set from the 3.1-second baseline. Source: gateway, daily.</t>
        </is>
      </c>
    </row>
    <row r="15">
      <c r="A15" s="13" t="inlineStr">
        <is>
          <t>Handle-time reduction</t>
        </is>
      </c>
      <c r="B15" s="4" t="inlineStr">
        <is>
          <t>Performance limit. Green 54 seconds or more, Red below 42 seconds. Reason: set from the 60-second target. Source: contact center system against the baseline; turned into realized value by Finance each quarter.</t>
        </is>
      </c>
    </row>
    <row r="16">
      <c r="A16" s="13" t="inlineStr">
        <is>
          <t>Override rate and retrieval miss rate</t>
        </is>
      </c>
      <c r="B16" s="4" t="inlineStr">
        <is>
          <t>Leading signals. Above 15% and above 6% set Amber at most. Reason: they move before accuracy does. Source: gateway, weekly owner check.</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4" customWidth="1" min="1" max="1"/>
    <col width="90" customWidth="1" min="2" max="2"/>
  </cols>
  <sheetData>
    <row r="1">
      <c r="A1" s="1" t="inlineStr">
        <is>
          <t>Completed Red decision memo: small-business lending agent (Chapter 14)</t>
        </is>
      </c>
    </row>
    <row r="2">
      <c r="A2" s="2" t="inlineStr">
        <is>
          <t>Completed example from Appendix A, for the fictional bank Fytvio. Use it as a guide to the level of detail; record your own in the blank template.</t>
        </is>
      </c>
    </row>
    <row r="4" ht="30" customHeight="1">
      <c r="A4" s="3" t="inlineStr">
        <is>
          <t>Section</t>
        </is>
      </c>
      <c r="B4" s="3" t="inlineStr">
        <is>
          <t>Content</t>
        </is>
      </c>
    </row>
    <row r="5">
      <c r="A5" s="13" t="inlineStr">
        <is>
          <t>Investment</t>
        </is>
      </c>
      <c r="B5" s="4" t="inlineStr">
        <is>
          <t>Small-business lending agent (FYT-052). Pilot stage, month 2. Level 2: a relationship manager approves each email.</t>
        </is>
      </c>
    </row>
    <row r="6">
      <c r="A6" s="13" t="inlineStr">
        <is>
          <t>Cause and evidence</t>
        </is>
      </c>
      <c r="B6" s="4" t="inlineStr">
        <is>
          <t>The agent took rates from a document library that still held last quarter's rate sheet. The monthly live sample found one wrong quote; gateway logs found all 23 within two hours. Quotes were 0.25 to 0.5 percentage points too low. Approvals missed them because emails were approved in batches, some 30 or more in a few minutes.</t>
        </is>
      </c>
    </row>
    <row r="7">
      <c r="A7" s="13" t="inlineStr">
        <is>
          <t>Status</t>
        </is>
      </c>
      <c r="B7" s="4" t="inlineStr">
        <is>
          <t>Red the same day under the critical event rule. Agent paused. Other tests Green: value 92% of target, adoption 88%, cost below plan.</t>
        </is>
      </c>
    </row>
    <row r="8">
      <c r="A8" s="13" t="inlineStr">
        <is>
          <t>Option 1: fix once</t>
        </is>
      </c>
      <c r="B8" s="4" t="inlineStr">
        <is>
          <t>Take rates from the pricing system, add 40 test cases, limit batch approval to ten emails and open every email with a price. Cost: team time and two more months of pilot running cost. Timing: two months to show the fix holds.</t>
        </is>
      </c>
    </row>
    <row r="9">
      <c r="A9" s="13" t="inlineStr">
        <is>
          <t>Option 2: stop</t>
        </is>
      </c>
      <c r="B9" s="4" t="inlineStr">
        <is>
          <t>Write off pilot spend to date and return the remaining pilot budget to the portfolio pool. The time saving of about 5.5 hours a week per manager is lost.</t>
        </is>
      </c>
    </row>
    <row r="10">
      <c r="A10" s="13" t="inlineStr">
        <is>
          <t>Customer and risk impact</t>
        </is>
      </c>
      <c r="B10" s="4" t="inlineStr">
        <is>
          <t>23 businesses received wrong quotes; each was called with a corrected quote. Handled as a Sev 1 incident. Compliance is reviewing fair lending and state-law exposure.</t>
        </is>
      </c>
    </row>
    <row r="11">
      <c r="A11" s="13" t="inlineStr">
        <is>
          <t>Recommendation</t>
        </is>
      </c>
      <c r="B11" s="4" t="inlineStr">
        <is>
          <t>Fix once. The cause is specific and testable, and the fix removes the model from writing rates.</t>
        </is>
      </c>
    </row>
    <row r="12">
      <c r="A12" s="13" t="inlineStr">
        <is>
          <t>Decision needed by</t>
        </is>
      </c>
      <c r="B12" s="4" t="inlineStr">
        <is>
          <t>Ten business days from the Red status.</t>
        </is>
      </c>
    </row>
    <row r="13">
      <c r="A13" s="13" t="inlineStr">
        <is>
          <t>Decision and dissent</t>
        </is>
      </c>
      <c r="B13" s="4" t="inlineStr">
        <is>
          <t>Fix once, as recommended, with two months to show it holds. Dissent recorded: one member asked for a stop, on the grounds that Level 2 approval had failed and might fail again.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46" customWidth="1" min="1" max="1"/>
    <col width="18" customWidth="1" min="2" max="2"/>
    <col width="60" customWidth="1" min="3" max="3"/>
  </cols>
  <sheetData>
    <row r="1">
      <c r="A1" s="1" t="inlineStr">
        <is>
          <t>Completed value confirmation: document intake (Chapter 9)</t>
        </is>
      </c>
    </row>
    <row r="2">
      <c r="A2" s="2" t="inlineStr">
        <is>
          <t>Completed example from Appendix A, for the fictional bank Fytvio. Yellow cells are inputs; the rest calculate, so the example can be reused with your own figures.</t>
        </is>
      </c>
    </row>
    <row r="4" ht="30" customHeight="1">
      <c r="A4" s="3" t="inlineStr">
        <is>
          <t>Line</t>
        </is>
      </c>
      <c r="B4" s="3" t="inlineStr">
        <is>
          <t>Value</t>
        </is>
      </c>
      <c r="C4" s="3" t="inlineStr">
        <is>
          <t>Evidence or note</t>
        </is>
      </c>
    </row>
    <row r="5">
      <c r="A5" s="4" t="inlineStr">
        <is>
          <t>Baseline minutes per document</t>
        </is>
      </c>
      <c r="B5" s="14" t="n">
        <v>6</v>
      </c>
      <c r="C5" s="4" t="inlineStr">
        <is>
          <t>Measured for six weeks before launch</t>
        </is>
      </c>
    </row>
    <row r="6">
      <c r="A6" s="4" t="inlineStr">
        <is>
          <t>Planned minutes per document</t>
        </is>
      </c>
      <c r="B6" s="14" t="n">
        <v>2</v>
      </c>
      <c r="C6" s="4" t="inlineStr">
        <is>
          <t>Business case</t>
        </is>
      </c>
    </row>
    <row r="7">
      <c r="A7" s="4" t="inlineStr">
        <is>
          <t>Documents per year</t>
        </is>
      </c>
      <c r="B7" s="10" t="n">
        <v>2500000</v>
      </c>
      <c r="C7" s="4" t="inlineStr">
        <is>
          <t>Baseline period, annualized</t>
        </is>
      </c>
    </row>
    <row r="8">
      <c r="A8" s="4" t="inlineStr">
        <is>
          <t>Loaded cost per hour ($)</t>
        </is>
      </c>
      <c r="B8" s="6" t="n">
        <v>66</v>
      </c>
      <c r="C8" s="4" t="inlineStr">
        <is>
          <t>Agreed with Finance in advance</t>
        </is>
      </c>
    </row>
    <row r="9">
      <c r="A9" s="4" t="inlineStr">
        <is>
          <t>Planned running cost per year ($)</t>
        </is>
      </c>
      <c r="B9" s="6" t="n">
        <v>1000000</v>
      </c>
      <c r="C9" s="4" t="inlineStr">
        <is>
          <t>Business case</t>
        </is>
      </c>
    </row>
    <row r="10">
      <c r="A10" s="4" t="inlineStr">
        <is>
          <t>Business case gross benefit ($)</t>
        </is>
      </c>
      <c r="B10" s="8">
        <f>(B5-B6)/60*B7*B8</f>
        <v/>
      </c>
      <c r="C10" s="4" t="inlineStr">
        <is>
          <t>Minutes saved, in hours, times the loaded cost</t>
        </is>
      </c>
    </row>
    <row r="11">
      <c r="A11" s="4" t="inlineStr">
        <is>
          <t>Business case net benefit ($)</t>
        </is>
      </c>
      <c r="B11" s="8">
        <f>B10-B9</f>
        <v/>
      </c>
    </row>
    <row r="13" ht="30" customHeight="1">
      <c r="A13" s="3" t="inlineStr">
        <is>
          <t>Leak (annual, entered as positive)</t>
        </is>
      </c>
      <c r="B13" s="3" t="inlineStr">
        <is>
          <t>Value</t>
        </is>
      </c>
      <c r="C13" s="3" t="inlineStr">
        <is>
          <t>Cause</t>
        </is>
      </c>
    </row>
    <row r="14">
      <c r="A14" s="4" t="inlineStr">
        <is>
          <t>Adoption gap</t>
        </is>
      </c>
      <c r="B14" s="6" t="n">
        <v>2400000</v>
      </c>
      <c r="C14" s="4" t="inlineStr">
        <is>
          <t>78% of eligible documents went through the system</t>
        </is>
      </c>
    </row>
    <row r="15">
      <c r="A15" s="4" t="inlineStr">
        <is>
          <t>Process not redesigned</t>
        </is>
      </c>
      <c r="B15" s="6" t="n">
        <v>1500000</v>
      </c>
      <c r="C15" s="4" t="inlineStr">
        <is>
          <t>Full field check kept</t>
        </is>
      </c>
    </row>
    <row r="16">
      <c r="A16" s="4" t="inlineStr">
        <is>
          <t>Quality rework</t>
        </is>
      </c>
      <c r="B16" s="6" t="n">
        <v>900000</v>
      </c>
      <c r="C16" s="4" t="inlineStr">
        <is>
          <t>Handwritten form extraction errors</t>
        </is>
      </c>
    </row>
    <row r="17">
      <c r="A17" s="4" t="inlineStr">
        <is>
          <t>Cost overrun</t>
        </is>
      </c>
      <c r="B17" s="6" t="n">
        <v>700000</v>
      </c>
      <c r="C17" s="4" t="inlineStr">
        <is>
          <t>Largest model used for every document</t>
        </is>
      </c>
    </row>
    <row r="18">
      <c r="A18" s="4" t="inlineStr">
        <is>
          <t>Measured net benefit ($)</t>
        </is>
      </c>
      <c r="B18" s="8">
        <f>B11-SUM(B14:B17)</f>
        <v/>
      </c>
      <c r="C18" s="4" t="inlineStr">
        <is>
          <t>First Finance review, two quarters into Scale</t>
        </is>
      </c>
    </row>
    <row r="20" ht="30" customHeight="1">
      <c r="A20" s="3" t="inlineStr">
        <is>
          <t>Classification</t>
        </is>
      </c>
      <c r="B20" s="3" t="inlineStr">
        <is>
          <t>Value</t>
        </is>
      </c>
      <c r="C20" s="3" t="inlineStr">
        <is>
          <t>Evidence</t>
        </is>
      </c>
    </row>
    <row r="21">
      <c r="A21" s="4" t="inlineStr">
        <is>
          <t>Harvested</t>
        </is>
      </c>
      <c r="B21" s="6" t="n">
        <v>2400000</v>
      </c>
      <c r="C21" s="4" t="inlineStr">
        <is>
          <t>20 vacant intake positions not refilled, visible in the budget</t>
        </is>
      </c>
    </row>
    <row r="22">
      <c r="A22" s="4" t="inlineStr">
        <is>
          <t>Redeployed</t>
        </is>
      </c>
      <c r="B22" s="6" t="n">
        <v>1200000</v>
      </c>
      <c r="C22" s="4" t="inlineStr">
        <is>
          <t>Clerks moved to the loan-processing backlog, which fell by a measured amount</t>
        </is>
      </c>
    </row>
    <row r="23">
      <c r="A23" s="4" t="inlineStr">
        <is>
          <t>Unharvested</t>
        </is>
      </c>
      <c r="B23" s="6" t="n">
        <v>2600000</v>
      </c>
      <c r="C23" s="4" t="inlineStr">
        <is>
          <t>Capacity created, not yet used for named work; reported as capacity, not money</t>
        </is>
      </c>
    </row>
    <row r="24">
      <c r="A24" s="4" t="inlineStr">
        <is>
          <t>Realized gross ($)</t>
        </is>
      </c>
      <c r="B24" s="8">
        <f>B21+B22</f>
        <v/>
      </c>
      <c r="C24" s="4" t="inlineStr">
        <is>
          <t>Harvested plus redeployed, confirmed by Finance at quarter-end</t>
        </is>
      </c>
    </row>
    <row r="25">
      <c r="A25" s="4" t="inlineStr">
        <is>
          <t>Full running cost ($)</t>
        </is>
      </c>
      <c r="B25" s="8">
        <f>B9+B17</f>
        <v/>
      </c>
      <c r="C25" s="4" t="inlineStr">
        <is>
          <t>Planned cost plus the overrun</t>
        </is>
      </c>
    </row>
    <row r="26">
      <c r="A26" s="4" t="inlineStr">
        <is>
          <t>Realized net benefit ($)</t>
        </is>
      </c>
      <c r="B26" s="8">
        <f>B24-B25</f>
        <v/>
      </c>
      <c r="C26" s="4" t="inlineStr">
        <is>
          <t>Compared with the net business case</t>
        </is>
      </c>
    </row>
    <row r="27">
      <c r="A27" s="4" t="inlineStr">
        <is>
          <t>Gross measured benefit ($)</t>
        </is>
      </c>
      <c r="B27" s="8">
        <f>B18+B25</f>
        <v/>
      </c>
      <c r="C27" s="4" t="inlineStr">
        <is>
          <t>Net benefit plus full running cost</t>
        </is>
      </c>
    </row>
    <row r="28">
      <c r="A28" s="4" t="inlineStr">
        <is>
          <t>Check: classes add up to gross benefit</t>
        </is>
      </c>
      <c r="B28" s="4">
        <f>IF(ABS(SUM(B21:B23)-B27)&lt;1,"OK","Does not add up")</f>
        <v/>
      </c>
      <c r="C28" s="4" t="inlineStr">
        <is>
          <t>The classes split gross benefit, before running cost</t>
        </is>
      </c>
    </row>
    <row r="29">
      <c r="A29" s="4" t="inlineStr">
        <is>
          <t>Value-to-cost ratio</t>
        </is>
      </c>
      <c r="B29" s="15">
        <f>IF(B25=0,"",B27/B25)</f>
        <v/>
      </c>
      <c r="C29" s="4" t="inlineStr">
        <is>
          <t>Floor 1.5 at Scale and Run; Red below 1.0</t>
        </is>
      </c>
    </row>
    <row r="30">
      <c r="A30" s="4" t="inlineStr">
        <is>
          <t>Measured net as share of business case</t>
        </is>
      </c>
      <c r="B30" s="9">
        <f>IF(B11=0,"",B18/B11)</f>
        <v/>
      </c>
      <c r="C30" s="4" t="inlineStr">
        <is>
          <t>Sets status at the Scale stage</t>
        </is>
      </c>
    </row>
    <row r="31">
      <c r="A31" s="4" t="inlineStr">
        <is>
          <t>Realized net as share of business case</t>
        </is>
      </c>
      <c r="B31" s="9">
        <f>IF(B11=0,"",B26/B11)</f>
        <v/>
      </c>
      <c r="C31" s="4" t="inlineStr">
        <is>
          <t>Sets status from the Run stage</t>
        </is>
      </c>
    </row>
    <row r="32">
      <c r="A32" s="4" t="inlineStr">
        <is>
          <t>Value test (default limits)</t>
        </is>
      </c>
      <c r="B32" s="4">
        <f>IF(B30="","",IF(B30&gt;=0.9,"Green",IF(B30&gt;=0.7,"Amber","Red")))</f>
        <v/>
      </c>
      <c r="C32" s="4" t="inlineStr">
        <is>
          <t>On measured value at Scale. Green at 90% or more of the business case; Amber 70 to 89%; Red below 70%</t>
        </is>
      </c>
    </row>
    <row r="33">
      <c r="A33" s="4" t="inlineStr">
        <is>
          <t>Next confirmation</t>
        </is>
      </c>
      <c r="B33" s="4" t="inlineStr">
        <is>
          <t>Next quarter-end, after the four fixes in Chapter 9</t>
        </is>
      </c>
      <c r="C3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2026-10-28T04:04:43Z</dcterms:created>
  <dcterms:modified xmlns:dcterms="http://purl.org/dc/terms/" xmlns:xsi="http://www.w3.org/2001/XMLSchema-instance" xsi:type="dcterms:W3CDTF">2026-10-28T04:04:43Z</dcterms:modified>
</cp:coreProperties>
</file>